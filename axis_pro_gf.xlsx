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D1E60010-A29F-5141-BC66-364E2C9DBCFA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-1'!$A$1:$Z$197</definedName>
    <definedName name="_xlnm._FilterDatabase" localSheetId="2" hidden="1">'СПРАВОЧНИК -3'!$A$1:$D$39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<sst xmlns="http://schemas.openxmlformats.org/spreadsheetml/2006/main" count="2515" uniqueCount="515">
  <si>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</si>
  <si>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</si>
  <si>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</si>
  <si>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</si>
  <si>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</si>
  <si>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</si>
  <si>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</si>
  <si>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</si>
  <si>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</si>
  <si>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</si>
  <si>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</si>
  <si>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</si>
  <si>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</si>
  <si>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</si>
  <si>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</si>
  <si>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</si>
  <si>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</si>
  <si>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</si>
  <si>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</si>
  <si>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</si>
  <si>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</si>
  <si>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</si>
  <si>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</si>
  <si>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</si>
  <si>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</si>
  <si>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</si>
  <si>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</si>
  <si>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</si>
  <si>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</si>
  <si>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</si>
  <si>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</si>
  <si>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</si>
  <si>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</si>
  <si>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</si>
  <si>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</si>
  <si>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</si>
  <si>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</si>
  <si>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</si>
  <si>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</si>
  <si>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</si>
  <si>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</si>
  <si>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</si>
  <si>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</si>
  <si>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</si>
  <si>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</si>
  <si>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</si>
  <si>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</si>
  <si>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</si>
  <si>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</si>
  <si>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</si>
  <si>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</si>
  <si>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</si>
  <si>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</si>
  <si>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</si>
  <si>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</si>
  <si>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</si>
  <si>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</si>
  <si>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</si>
  <si>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</si>
  <si>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</si>
  <si>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</si>
  <si>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</si>
  <si>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</si>
  <si>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</si>
  <si>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</si>
  <si>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</si>
  <si>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</si>
  <si>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</si>
  <si>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</si>
  <si>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</si>
  <si>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</si>
  <si>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</si>
  <si>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</si>
  <si>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</si>
  <si>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</si>
  <si>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</si>
  <si>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</si>
  <si>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</si>
  <si>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</si>
  <si>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</si>
  <si>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</si>
  <si>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</si>
  <si>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</si>
  <si>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</si>
  <si>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</si>
  <si>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</si>
  <si>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</si>
  <si>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</si>
  <si>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</si>
  <si>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</si>
  <si>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</si>
  <si>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</si>
  <si>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</si>
  <si>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</si>
  <si>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</si>
  <si>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</si>
  <si>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</si>
  <si>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</si>
  <si>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</si>
  <si>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</si>
  <si>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</si>
  <si>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</si>
  <si>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</si>
  <si>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</si>
  <si>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</si>
  <si>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</si>
  <si>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</si>
  <si>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</si>
  <si>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</si>
  <si>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</si>
  <si>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</si>
  <si>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</si>
  <si>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</si>
  <si>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</si>
  <si>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</si>
  <si>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</si>
  <si>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</si>
  <si>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</si>
  <si>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</si>
  <si>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</si>
  <si>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</si>
  <si>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</si>
  <si>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</si>
  <si>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</si>
  <si>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</si>
  <si>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</si>
  <si>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</si>
  <si>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</si>
  <si>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</si>
  <si>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</si>
  <si>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</si>
  <si>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</si>
  <si>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</si>
  <si>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</si>
  <si>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</si>
  <si>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</si>
  <si>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</si>
  <si>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</si>
  <si>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</si>
  <si>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</si>
  <si>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</si>
  <si>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</si>
  <si>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</si>
  <si>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</si>
  <si>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</si>
  <si>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</si>
  <si>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</si>
  <si>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</si>
  <si>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</si>
  <si>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</si>
  <si>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</si>
  <si>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</si>
  <si>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</si>
  <si>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</si>
  <si>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</si>
  <si>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</si>
  <si>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</si>
  <si>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</si>
  <si>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</si>
  <si>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</si>
  <si>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</si>
  <si>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</si>
  <si>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</si>
  <si>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</si>
  <si>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</si>
  <si>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</si>
  <si>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</si>
  <si>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</si>
  <si>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</si>
  <si>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</si>
  <si>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</si>
  <si>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</si>
  <si>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</si>
  <si>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</si>
  <si>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</si>
  <si>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</si>
  <si>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</si>
  <si>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</si>
  <si>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</si>
  <si>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</si>
  <si>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</si>
  <si>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</si>
  <si>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</si>
  <si>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</si>
  <si>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</si>
  <si>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</si>
  <si>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</si>
  <si>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</si>
  <si>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</si>
  <si>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</si>
  <si>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</si>
  <si>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</si>
  <si>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</si>
  <si>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</si>
  <si>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</si>
  <si>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</si>
  <si>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</si>
  <si>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</si>
  <si>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</si>
  <si>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</si>
  <si>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</si>
  <si>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</si>
  <si>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</si>
  <si>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</si>
  <si>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</si>
  <si>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</si>
  <si>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</si>
  <si>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</si>
  <si>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</si>
  <si>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</si>
  <si>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</si>
  <si>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</si>
  <si>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</si>
  <si>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</si>
  <si>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</si>
  <si>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</si>
  <si>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</si>
  <si>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</si>
  <si>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</si>
  <si>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</si>
  <si>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</si>
  <si>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</si>
  <si>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</si>
  <si>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</si>
  <si>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</si>
  <si>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</si>
  <si>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</si>
  <si>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</si>
  <si>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</si>
  <si>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</si>
  <si>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</si>
  <si>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</si>
  <si>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</si>
  <si>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</si>
  <si>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</si>
  <si>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</si>
  <si>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</si>
  <si>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</si>
  <si>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</si>
  <si>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</si>
  <si>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</si>
  <si>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</si>
  <si>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</si>
  <si>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</si>
  <si>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</si>
  <si>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</si>
  <si>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</si>
  <si>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</si>
  <si>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</si>
  <si>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</si>
  <si>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</si>
  <si>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</si>
  <si>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</si>
  <si>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</si>
  <si>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</si>
  <si>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</si>
  <si>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</si>
  <si>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</si>
  <si>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</si>
  <si>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</si>
  <si>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</si>
  <si>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</si>
  <si>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</si>
  <si>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</si>
  <si>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</si>
  <si>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</si>
  <si>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</si>
  <si>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</si>
  <si>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</si>
  <si>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</si>
  <si>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</si>
  <si>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</si>
  <si>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</si>
  <si>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</si>
  <si>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</si>
  <si>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</si>
  <si>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</si>
  <si>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</si>
  <si>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</si>
  <si>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</si>
  <si>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</si>
  <si>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</si>
  <si>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</si>
  <si>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</si>
  <si>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</si>
  <si>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</si>
  <si>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</si>
  <si>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</si>
  <si>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</si>
  <si>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</si>
  <si>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</si>
  <si>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</si>
  <si>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</si>
  <si>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</si>
  <si>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</si>
  <si>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</si>
  <si>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</si>
  <si>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</si>
  <si>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</si>
  <si>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</si>
  <si>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</si>
  <si>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</si>
  <si>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</si>
  <si>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</si>
  <si>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</si>
  <si>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</si>
  <si>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</si>
  <si>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</si>
  <si>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</si>
  <si>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</si>
  <si>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</si>
  <si>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</si>
  <si>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</si>
  <si>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</si>
  <si>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</si>
  <si>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</si>
  <si>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</si>
  <si>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</si>
  <si>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</si>
  <si>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</si>
  <si>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</si>
  <si>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</si>
  <si>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</si>
  <si>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</si>
  <si>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</si>
  <si>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</si>
  <si>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</si>
  <si>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</si>
  <si>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</si>
  <si>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</si>
  <si>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</si>
  <si>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</si>
  <si>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</si>
  <si>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</si>
  <si>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</si>
  <si>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</si>
  <si>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</si>
  <si>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</si>
  <si>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</si>
  <si>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</si>
  <si>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</si>
  <si>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</si>
  <si>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</si>
  <si>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</si>
  <si>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</si>
  <si>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</si>
  <si>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</si>
  <si>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</si>
  <si>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</si>
  <si>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</si>
  <si>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</si>
  <si>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</si>
  <si>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</si>
  <si>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</si>
  <si>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</si>
  <si>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</si>
  <si>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</si>
  <si>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</si>
  <si>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</si>
  <si>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</si>
  <si>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</si>
  <si>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</si>
  <si>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</si>
  <si>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</si>
  <si>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</si>
  <si>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</si>
  <si>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</si>
  <si>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</si>
  <si>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</si>
  <si>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</si>
  <si>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</si>
  <si>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</si>
  <si>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</si>
  <si>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</si>
  <si>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</si>
  <si>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</si>
  <si>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</si>
  <si>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</si>
  <si>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</si>
  <si>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</si>
  <si>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</si>
  <si>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2-10-2337-00-7024-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</si>
  <si>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</si>
  <si>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</si>
  <si>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</si>
  <si>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</si>
  <si>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</si>
  <si>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</si>
  <si>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</si>
  <si>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</si>
  <si>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</si>
  <si>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</si>
  <si>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</si>
  <si>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</si>
  <si>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</si>
  <si>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</si>
  <si>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</si>
  <si>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</si>
  <si>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</si>
  <si>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</si>
  <si>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</si>
  <si>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</si>
  <si>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</si>
  <si>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</si>
  <si>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</si>
  <si>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</si>
  <si>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</si>
  <si>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</si>
  <si>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</si>
  <si>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</si>
  <si>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</si>
  <si>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</si>
  <si>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</si>
  <si>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</si>
  <si>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</si>
  <si>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Замок язычковый 153/30 KALE без барели</t>
  </si>
  <si>
    <t>2-22-1414-00-5330</t>
  </si>
  <si>
    <t>45 Адаптер порога 45С Компланарная (2102)</t>
  </si>
  <si>
    <t>2-22-0025-00-4500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</si>
  <si>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</si>
  <si>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</si>
  <si>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</si>
  <si>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</si>
  <si>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</si>
  <si>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</si>
  <si>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</si>
  <si>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</si>
  <si>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</si>
  <si>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</si>
  <si>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</si>
  <si>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</si>
  <si>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</si>
  <si>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</si>
  <si>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</si>
  <si>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</si>
  <si>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</si>
  <si>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</si>
  <si>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</si>
  <si>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</si>
  <si>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</si>
  <si>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</si>
  <si>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</si>
  <si>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</si>
  <si>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</si>
  <si>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</si>
  <si>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</si>
  <si>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</si>
  <si>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</si>
  <si>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</si>
  <si>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</si>
  <si>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</si>
  <si>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</si>
  <si>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</si>
  <si>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</si>
  <si>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</si>
  <si>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</si>
  <si>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</si>
  <si>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</si>
  <si>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</si>
  <si>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</si>
  <si>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</si>
  <si>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</si>
  <si>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</si>
  <si>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</si>
  <si>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</si>
  <si>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</si>
  <si>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</si>
  <si>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</si>
  <si>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</si>
  <si>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</si>
  <si>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</si>
  <si>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</si>
  <si>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</si>
  <si>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</si>
  <si>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</si>
  <si>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</si>
  <si>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</si>
  <si>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</si>
  <si>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</si>
  <si>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</si>
  <si>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</si>
  <si>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</si>
  <si>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</si>
  <si>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</si>
  <si>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</si>
  <si>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</si>
  <si>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</si>
  <si>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</si>
  <si>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</si>
  <si>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</si>
  <si>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</si>
  <si>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</si>
  <si>
    <t>2 * (W_SP + H_SP) / 1000 * qty</t>
  </si>
  <si>
    <t>Петля подшипниковая трёхсекционная компланарная</t>
  </si>
  <si>
    <t>0 * qty</t>
  </si>
  <si>
    <t>Петля подшипниковая двухсекционная компланарная </t>
  </si>
  <si>
    <t>Петля подшипниковая трехсекционная компланарная</t>
  </si>
  <si>
    <t>is_door * 1 * qty</t>
  </si>
  <si>
    <t>2*n_sash_active*is_door*qty</t>
  </si>
  <si>
    <t>(height + 100) / 1000 * 1 * qty</t>
  </si>
  <si>
    <t>1 * n_sash_active * is_door * qty.</t>
  </si>
  <si>
    <t>(height+100)/1000×qty</t>
  </si>
  <si>
    <t>((sash_w+100)∗2+(sash_h+100)∗2)/1000∗n_sash∗qty</t>
  </si>
  <si>
    <t>(2∗n_impost+4)∗qty</t>
  </si>
  <si>
    <t>(4+2*n_impost)*qty</t>
  </si>
  <si>
    <t>4*(1+n_sash)*qty</t>
  </si>
  <si>
    <t>4*qty</t>
  </si>
  <si>
    <t>2∗n_sash_passive∗qty</t>
  </si>
  <si>
    <t>2∗(width+height)/1000∗qty∗(1+n_impost+n_sash)</t>
  </si>
  <si>
    <t>2 * (width + height) / 1000 * qty * (1 + n_impost)</t>
  </si>
  <si>
    <t>4 * (sash_w + sash_h) / 1000 * n_sash * qty</t>
  </si>
  <si>
    <t>2 * (width + height) / 1000 * qty * (1 + n_impost + n_sash)</t>
  </si>
  <si>
    <t>(width+100)/1000/6*qty</t>
  </si>
  <si>
    <t>(2∗(width+height)+4∗(sash_w+sash_h)∗n_sash)/1000∗qty</t>
  </si>
  <si>
    <t>1*n_sash_active*is_door*qty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</si>
</sst>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  <font>
      <sz val="14"/>
      <color rgb="FF000000"/>
      <name val="-webkit-standard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14" fillId="0" borderId="0" xfId="0" applyFont="1"/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  <xf numFmtId="0" fontId="15" fillId="2" borderId="0" xfId="0" applyFont="1" applyFill="1"/>
    <xf numFmtId="3" fontId="5" fillId="2" borderId="0" xfId="0" applyNumberFormat="1" applyFont="1" applyFill="1"/>
    <xf numFmtId="0" fontId="8" fillId="2" borderId="0" xfId="0" applyFont="1" applyFill="1"/>
    <xf numFmtId="0" fontId="5" fillId="2" borderId="0" xfId="0" applyFont="1" applyFill="1" applyBorder="1"/>
    <xf numFmtId="0" fontId="3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Z502"/>
  <sheetViews>
    <sheetView tabSelected="1" workbookViewId="0">
      <pane ySplit="1" topLeftCell="A109" activePane="bottomLeft" state="frozen"/>
      <selection pane="bottomLeft" activeCell="O202" sqref="O202"/>
    </sheetView>
  </sheetViews>
  <sheetFormatPr baseColWidth="10" defaultColWidth="12.6640625" defaultRowHeight="15.75" customHeight="1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>
      <c r="A1" s="2" t="s">
        <v>0</v>
      </c>
      <c r="B1" s="2" t="s">
        <v>1</v>
      </c>
      <c r="C1" s="2" t="s">
        <v>2</v>
      </c>
      <c r="D1" s="28" t="s">
        <v>3</v>
      </c>
      <c r="E1" s="2" t="s">
        <v>4</v>
      </c>
      <c r="F1" s="2" t="s">
        <v>5</v>
      </c>
      <c r="G1" s="28" t="s">
        <v>6</v>
      </c>
      <c r="H1" s="29" t="s">
        <v>7</v>
      </c>
      <c r="I1" s="28" t="s">
        <v>8</v>
      </c>
      <c r="J1" s="2" t="s">
        <v>9</v>
      </c>
      <c r="K1" s="2" t="s">
        <v>10</v>
      </c>
      <c r="L1" s="28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hidden="1" customHeight="1">
      <c r="A2" s="9" t="s">
        <v>15</v>
      </c>
      <c r="B2" s="9" t="s">
        <v>16</v>
      </c>
      <c r="C2" s="9" t="s">
        <v>17</v>
      </c>
      <c r="D2" s="9" t="s">
        <v>446</v>
      </c>
      <c r="E2" s="9" t="s">
        <v>18</v>
      </c>
      <c r="F2" s="9" t="s">
        <v>447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441</v>
      </c>
    </row>
    <row r="3" spans="1:24" ht="15.75" hidden="1" customHeight="1">
      <c r="A3" s="9" t="s">
        <v>15</v>
      </c>
      <c r="B3" s="9" t="s">
        <v>16</v>
      </c>
      <c r="C3" s="9" t="s">
        <v>21</v>
      </c>
      <c r="D3" s="9" t="s">
        <v>448</v>
      </c>
      <c r="E3" s="9" t="s">
        <v>23</v>
      </c>
      <c r="F3" s="9" t="s">
        <v>449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450</v>
      </c>
    </row>
    <row r="4" spans="1:24" ht="15.75" hidden="1" customHeight="1">
      <c r="A4" s="9" t="s">
        <v>15</v>
      </c>
      <c r="B4" s="9" t="s">
        <v>16</v>
      </c>
      <c r="C4" s="9" t="s">
        <v>24</v>
      </c>
      <c r="D4" s="9" t="s">
        <v>330</v>
      </c>
      <c r="E4" s="9" t="s">
        <v>25</v>
      </c>
      <c r="F4" s="9" t="s">
        <v>426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427</v>
      </c>
    </row>
    <row r="5" spans="1:24" ht="15.75" hidden="1" customHeight="1">
      <c r="A5" s="9" t="s">
        <v>15</v>
      </c>
      <c r="B5" s="9" t="s">
        <v>16</v>
      </c>
      <c r="C5" s="9" t="s">
        <v>26</v>
      </c>
      <c r="D5" s="9" t="s">
        <v>465</v>
      </c>
      <c r="E5" s="9" t="s">
        <v>27</v>
      </c>
      <c r="F5" s="9" t="s">
        <v>466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467</v>
      </c>
    </row>
    <row r="6" spans="1:24" s="27" customFormat="1" ht="15.75" hidden="1" customHeight="1">
      <c r="A6" s="27" t="s">
        <v>15</v>
      </c>
      <c r="B6" s="27" t="s">
        <v>16</v>
      </c>
      <c r="C6" s="27" t="s">
        <v>28</v>
      </c>
      <c r="D6" s="27" t="s">
        <v>341</v>
      </c>
      <c r="E6" s="27" t="s">
        <v>29</v>
      </c>
      <c r="F6" s="27" t="s">
        <v>485</v>
      </c>
      <c r="G6" s="27" t="s">
        <v>19</v>
      </c>
      <c r="H6" s="27">
        <v>810</v>
      </c>
      <c r="I6" s="27" t="s">
        <v>19</v>
      </c>
      <c r="K6" s="27">
        <v>6</v>
      </c>
      <c r="L6" s="27" t="s">
        <v>20</v>
      </c>
      <c r="M6" s="27">
        <v>0</v>
      </c>
      <c r="N6" s="27">
        <v>0</v>
      </c>
      <c r="O6" s="27" t="s">
        <v>513</v>
      </c>
    </row>
    <row r="7" spans="1:24" ht="15.75" hidden="1" customHeight="1">
      <c r="A7" s="9" t="s">
        <v>15</v>
      </c>
      <c r="B7" s="9" t="s">
        <v>16</v>
      </c>
      <c r="C7" s="9" t="s">
        <v>30</v>
      </c>
      <c r="D7" s="9" t="s">
        <v>484</v>
      </c>
      <c r="E7" s="9" t="s">
        <v>31</v>
      </c>
      <c r="F7" s="9" t="s">
        <v>422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406</v>
      </c>
    </row>
    <row r="8" spans="1:24" ht="15.75" hidden="1" customHeight="1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457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458</v>
      </c>
    </row>
    <row r="9" spans="1:24" ht="15.75" hidden="1" customHeight="1">
      <c r="A9" s="9" t="s">
        <v>15</v>
      </c>
      <c r="B9" s="9" t="s">
        <v>16</v>
      </c>
      <c r="C9" s="9" t="s">
        <v>37</v>
      </c>
      <c r="D9" s="9" t="s">
        <v>437</v>
      </c>
      <c r="E9" s="9" t="s">
        <v>38</v>
      </c>
      <c r="F9" s="9" t="s">
        <v>438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354</v>
      </c>
    </row>
    <row r="10" spans="1:24" ht="15.75" hidden="1" customHeight="1">
      <c r="A10" s="9" t="s">
        <v>15</v>
      </c>
      <c r="B10" s="9" t="s">
        <v>16</v>
      </c>
      <c r="C10" s="9" t="s">
        <v>39</v>
      </c>
      <c r="D10" s="9" t="s">
        <v>459</v>
      </c>
      <c r="E10" s="9" t="s">
        <v>41</v>
      </c>
      <c r="F10" s="9" t="s">
        <v>462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463</v>
      </c>
    </row>
    <row r="11" spans="1:24" ht="15.75" hidden="1" customHeight="1">
      <c r="A11" s="9" t="s">
        <v>15</v>
      </c>
      <c r="B11" s="9" t="s">
        <v>16</v>
      </c>
      <c r="C11" s="9" t="s">
        <v>42</v>
      </c>
      <c r="D11" s="9" t="s">
        <v>459</v>
      </c>
      <c r="E11" s="9" t="s">
        <v>43</v>
      </c>
      <c r="F11" s="9" t="s">
        <v>460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461</v>
      </c>
    </row>
    <row r="12" spans="1:24" ht="15.75" hidden="1" customHeight="1">
      <c r="A12" s="9" t="s">
        <v>15</v>
      </c>
      <c r="B12" s="9" t="s">
        <v>16</v>
      </c>
      <c r="C12" s="9" t="s">
        <v>44</v>
      </c>
      <c r="D12" s="9" t="s">
        <v>436</v>
      </c>
      <c r="E12" s="9" t="s">
        <v>45</v>
      </c>
      <c r="F12" s="9" t="s">
        <v>423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424</v>
      </c>
    </row>
    <row r="13" spans="1:24" ht="15.75" hidden="1" customHeight="1">
      <c r="A13" s="9" t="s">
        <v>15</v>
      </c>
      <c r="B13" s="9" t="s">
        <v>16</v>
      </c>
      <c r="C13" s="9" t="s">
        <v>46</v>
      </c>
      <c r="D13" s="9" t="s">
        <v>435</v>
      </c>
      <c r="E13" s="9" t="s">
        <v>47</v>
      </c>
      <c r="F13" s="9" t="s">
        <v>423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424</v>
      </c>
    </row>
    <row r="14" spans="1:24" ht="15.75" hidden="1" customHeight="1">
      <c r="A14" s="9" t="s">
        <v>15</v>
      </c>
      <c r="B14" s="9" t="s">
        <v>16</v>
      </c>
      <c r="C14" s="9" t="s">
        <v>48</v>
      </c>
      <c r="D14" s="9" t="s">
        <v>459</v>
      </c>
      <c r="E14" s="9" t="s">
        <v>50</v>
      </c>
      <c r="F14" s="9" t="s">
        <v>462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464</v>
      </c>
    </row>
    <row r="15" spans="1:24" ht="15.75" hidden="1" customHeight="1">
      <c r="A15" s="9" t="s">
        <v>15</v>
      </c>
      <c r="B15" s="9" t="s">
        <v>16</v>
      </c>
      <c r="C15" s="9" t="s">
        <v>51</v>
      </c>
      <c r="D15" s="9" t="s">
        <v>480</v>
      </c>
      <c r="E15" s="9" t="s">
        <v>53</v>
      </c>
      <c r="F15" s="9" t="s">
        <v>471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472</v>
      </c>
    </row>
    <row r="16" spans="1:24" ht="15.75" hidden="1" customHeight="1">
      <c r="A16" s="9" t="s">
        <v>15</v>
      </c>
      <c r="B16" s="9" t="s">
        <v>16</v>
      </c>
      <c r="C16" s="9" t="s">
        <v>55</v>
      </c>
      <c r="D16" s="9" t="s">
        <v>197</v>
      </c>
      <c r="E16" s="9" t="s">
        <v>57</v>
      </c>
      <c r="F16" s="9" t="s">
        <v>473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474</v>
      </c>
    </row>
    <row r="17" spans="1:15" ht="15.75" hidden="1" customHeight="1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478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479</v>
      </c>
    </row>
    <row r="18" spans="1:15" ht="15.75" hidden="1" customHeight="1">
      <c r="A18" s="9" t="s">
        <v>15</v>
      </c>
      <c r="B18" s="9" t="s">
        <v>16</v>
      </c>
      <c r="C18" s="9" t="s">
        <v>61</v>
      </c>
      <c r="D18" s="9" t="s">
        <v>199</v>
      </c>
      <c r="E18" s="9" t="s">
        <v>62</v>
      </c>
      <c r="F18" s="9" t="s">
        <v>478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479</v>
      </c>
    </row>
    <row r="19" spans="1:15" ht="15.75" hidden="1" customHeight="1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478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479</v>
      </c>
    </row>
    <row r="20" spans="1:15" ht="15.75" hidden="1" customHeight="1">
      <c r="A20" s="9" t="s">
        <v>63</v>
      </c>
      <c r="B20" s="9" t="s">
        <v>64</v>
      </c>
      <c r="C20" s="9" t="s">
        <v>67</v>
      </c>
      <c r="D20" s="9" t="s">
        <v>481</v>
      </c>
      <c r="E20" s="9" t="s">
        <v>69</v>
      </c>
      <c r="F20" s="9" t="s">
        <v>482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483</v>
      </c>
    </row>
    <row r="21" spans="1:15" ht="15.75" hidden="1" customHeight="1">
      <c r="A21" s="9" t="s">
        <v>63</v>
      </c>
      <c r="B21" s="9" t="s">
        <v>64</v>
      </c>
      <c r="C21" s="9" t="s">
        <v>70</v>
      </c>
      <c r="D21" s="9" t="s">
        <v>425</v>
      </c>
      <c r="E21" s="9" t="s">
        <v>72</v>
      </c>
      <c r="F21" s="9" t="s">
        <v>423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424</v>
      </c>
    </row>
    <row r="22" spans="1:15" ht="15.75" hidden="1" customHeight="1">
      <c r="A22" s="9" t="s">
        <v>63</v>
      </c>
      <c r="B22" s="9" t="s">
        <v>64</v>
      </c>
      <c r="C22" s="9" t="s">
        <v>73</v>
      </c>
      <c r="D22" s="9" t="s">
        <v>456</v>
      </c>
      <c r="E22" s="9" t="s">
        <v>75</v>
      </c>
      <c r="F22" s="9" t="s">
        <v>423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424</v>
      </c>
    </row>
    <row r="23" spans="1:15" ht="15.75" hidden="1" customHeight="1">
      <c r="A23" s="9" t="s">
        <v>63</v>
      </c>
      <c r="B23" s="9" t="s">
        <v>64</v>
      </c>
      <c r="C23" s="9" t="s">
        <v>76</v>
      </c>
      <c r="D23" s="9" t="s">
        <v>436</v>
      </c>
      <c r="E23" s="9" t="s">
        <v>78</v>
      </c>
      <c r="F23" s="9" t="s">
        <v>423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424</v>
      </c>
    </row>
    <row r="24" spans="1:15" ht="15.75" hidden="1" customHeight="1">
      <c r="A24" s="9" t="s">
        <v>15</v>
      </c>
      <c r="B24" s="9" t="s">
        <v>80</v>
      </c>
      <c r="C24" s="9" t="s">
        <v>81</v>
      </c>
      <c r="D24" s="9" t="s">
        <v>448</v>
      </c>
      <c r="E24" s="9" t="s">
        <v>82</v>
      </c>
      <c r="F24" s="9" t="s">
        <v>449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450</v>
      </c>
    </row>
    <row r="25" spans="1:15" ht="15.75" hidden="1" customHeight="1">
      <c r="A25" s="9" t="s">
        <v>15</v>
      </c>
      <c r="B25" s="9" t="s">
        <v>80</v>
      </c>
      <c r="C25" s="9" t="s">
        <v>83</v>
      </c>
      <c r="D25" s="9" t="s">
        <v>330</v>
      </c>
      <c r="E25" s="9" t="s">
        <v>84</v>
      </c>
      <c r="F25" s="9" t="s">
        <v>426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427</v>
      </c>
    </row>
    <row r="26" spans="1:15" ht="15.75" hidden="1" customHeight="1">
      <c r="A26" s="9" t="s">
        <v>15</v>
      </c>
      <c r="B26" s="9" t="s">
        <v>80</v>
      </c>
      <c r="C26" s="9" t="s">
        <v>85</v>
      </c>
      <c r="D26" s="9" t="s">
        <v>465</v>
      </c>
      <c r="E26" s="9" t="s">
        <v>86</v>
      </c>
      <c r="F26" s="9" t="s">
        <v>466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467</v>
      </c>
    </row>
    <row r="27" spans="1:15" ht="15.75" hidden="1" customHeight="1">
      <c r="A27" s="9" t="s">
        <v>15</v>
      </c>
      <c r="B27" s="9" t="s">
        <v>80</v>
      </c>
      <c r="C27" s="9" t="s">
        <v>88</v>
      </c>
      <c r="D27" s="9" t="s">
        <v>437</v>
      </c>
      <c r="E27" s="9" t="s">
        <v>38</v>
      </c>
      <c r="F27" s="9" t="s">
        <v>438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354</v>
      </c>
    </row>
    <row r="28" spans="1:15" ht="15.75" hidden="1" customHeight="1">
      <c r="A28" s="9" t="s">
        <v>15</v>
      </c>
      <c r="B28" s="9" t="s">
        <v>80</v>
      </c>
      <c r="C28" s="9" t="s">
        <v>89</v>
      </c>
      <c r="D28" s="9" t="s">
        <v>459</v>
      </c>
      <c r="E28" s="9" t="s">
        <v>90</v>
      </c>
      <c r="F28" s="9" t="s">
        <v>460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461</v>
      </c>
    </row>
    <row r="29" spans="1:15" ht="15.75" hidden="1" customHeight="1">
      <c r="A29" s="9" t="s">
        <v>15</v>
      </c>
      <c r="B29" s="9" t="s">
        <v>80</v>
      </c>
      <c r="C29" s="9" t="s">
        <v>91</v>
      </c>
      <c r="D29" s="9" t="s">
        <v>459</v>
      </c>
      <c r="E29" s="9" t="s">
        <v>92</v>
      </c>
      <c r="F29" s="9" t="s">
        <v>462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463</v>
      </c>
    </row>
    <row r="30" spans="1:15" ht="15.75" hidden="1" customHeight="1">
      <c r="A30" s="9" t="s">
        <v>15</v>
      </c>
      <c r="B30" s="9" t="s">
        <v>80</v>
      </c>
      <c r="C30" s="9" t="s">
        <v>44</v>
      </c>
      <c r="D30" s="9" t="s">
        <v>436</v>
      </c>
      <c r="E30" s="9" t="s">
        <v>45</v>
      </c>
      <c r="F30" s="9" t="s">
        <v>423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424</v>
      </c>
    </row>
    <row r="31" spans="1:15" ht="15.75" hidden="1" customHeight="1">
      <c r="A31" s="9" t="s">
        <v>15</v>
      </c>
      <c r="B31" s="9" t="s">
        <v>80</v>
      </c>
      <c r="C31" s="9" t="s">
        <v>46</v>
      </c>
      <c r="D31" s="9" t="s">
        <v>435</v>
      </c>
      <c r="E31" s="9" t="s">
        <v>47</v>
      </c>
      <c r="F31" s="9" t="s">
        <v>423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424</v>
      </c>
    </row>
    <row r="32" spans="1:15" ht="15.75" hidden="1" customHeight="1">
      <c r="A32" s="9" t="s">
        <v>15</v>
      </c>
      <c r="B32" s="9" t="s">
        <v>80</v>
      </c>
      <c r="C32" s="9" t="s">
        <v>93</v>
      </c>
      <c r="D32" s="9" t="s">
        <v>470</v>
      </c>
      <c r="E32" s="9" t="s">
        <v>94</v>
      </c>
      <c r="F32" s="9" t="s">
        <v>471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472</v>
      </c>
    </row>
    <row r="33" spans="1:15" ht="15.75" hidden="1" customHeight="1">
      <c r="A33" s="9" t="s">
        <v>15</v>
      </c>
      <c r="B33" s="9" t="s">
        <v>80</v>
      </c>
      <c r="C33" s="9" t="s">
        <v>51</v>
      </c>
      <c r="D33" s="9" t="s">
        <v>480</v>
      </c>
      <c r="E33" s="9" t="s">
        <v>53</v>
      </c>
      <c r="F33" s="9" t="s">
        <v>471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472</v>
      </c>
    </row>
    <row r="34" spans="1:15" ht="15.75" hidden="1" customHeight="1">
      <c r="A34" s="9" t="s">
        <v>15</v>
      </c>
      <c r="B34" s="9" t="s">
        <v>80</v>
      </c>
      <c r="C34" s="9" t="s">
        <v>95</v>
      </c>
      <c r="D34" s="9" t="s">
        <v>470</v>
      </c>
      <c r="E34" s="9" t="s">
        <v>96</v>
      </c>
      <c r="F34" s="9" t="s">
        <v>473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474</v>
      </c>
    </row>
    <row r="35" spans="1:15" ht="15.75" hidden="1" customHeight="1">
      <c r="A35" s="9" t="s">
        <v>15</v>
      </c>
      <c r="B35" s="9" t="s">
        <v>80</v>
      </c>
      <c r="C35" s="9" t="s">
        <v>55</v>
      </c>
      <c r="D35" s="9" t="s">
        <v>197</v>
      </c>
      <c r="E35" s="9" t="s">
        <v>57</v>
      </c>
      <c r="F35" s="9" t="s">
        <v>473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474</v>
      </c>
    </row>
    <row r="36" spans="1:15" ht="15.75" hidden="1" customHeight="1">
      <c r="A36" s="9" t="s">
        <v>63</v>
      </c>
      <c r="B36" s="9" t="s">
        <v>16</v>
      </c>
      <c r="C36" s="9" t="s">
        <v>97</v>
      </c>
      <c r="D36" s="9" t="s">
        <v>442</v>
      </c>
      <c r="E36" s="9" t="s">
        <v>99</v>
      </c>
      <c r="F36" s="9" t="s">
        <v>443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444</v>
      </c>
    </row>
    <row r="37" spans="1:15" ht="15.75" hidden="1" customHeight="1">
      <c r="A37" s="9" t="s">
        <v>63</v>
      </c>
      <c r="B37" s="9" t="s">
        <v>16</v>
      </c>
      <c r="C37" s="9" t="s">
        <v>100</v>
      </c>
      <c r="D37" s="9" t="s">
        <v>451</v>
      </c>
      <c r="E37" s="9" t="s">
        <v>102</v>
      </c>
      <c r="F37" s="9" t="s">
        <v>452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453</v>
      </c>
    </row>
    <row r="38" spans="1:15" ht="15.75" hidden="1" customHeight="1">
      <c r="A38" s="9" t="s">
        <v>63</v>
      </c>
      <c r="B38" s="9" t="s">
        <v>16</v>
      </c>
      <c r="C38" s="9" t="s">
        <v>103</v>
      </c>
      <c r="D38" s="9" t="s">
        <v>468</v>
      </c>
      <c r="E38" s="9" t="s">
        <v>105</v>
      </c>
      <c r="F38" s="9" t="s">
        <v>466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467</v>
      </c>
    </row>
    <row r="39" spans="1:15" ht="15.75" hidden="1" customHeight="1">
      <c r="A39" s="9" t="s">
        <v>63</v>
      </c>
      <c r="B39" s="9" t="s">
        <v>16</v>
      </c>
      <c r="C39" s="9" t="s">
        <v>106</v>
      </c>
      <c r="D39" s="9" t="s">
        <v>487</v>
      </c>
      <c r="E39" s="9" t="s">
        <v>107</v>
      </c>
      <c r="F39" s="9" t="s">
        <v>488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489</v>
      </c>
    </row>
    <row r="40" spans="1:15" ht="15.75" hidden="1" customHeight="1">
      <c r="A40" s="9" t="s">
        <v>63</v>
      </c>
      <c r="B40" s="9" t="s">
        <v>16</v>
      </c>
      <c r="C40" s="9" t="s">
        <v>108</v>
      </c>
      <c r="D40" s="9" t="s">
        <v>428</v>
      </c>
      <c r="E40" s="9" t="s">
        <v>109</v>
      </c>
      <c r="F40" s="9" t="s">
        <v>429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430</v>
      </c>
    </row>
    <row r="41" spans="1:15" ht="15.75" hidden="1" customHeight="1">
      <c r="A41" s="9" t="s">
        <v>63</v>
      </c>
      <c r="B41" s="9" t="s">
        <v>64</v>
      </c>
      <c r="C41" s="9" t="s">
        <v>110</v>
      </c>
      <c r="D41" s="9" t="s">
        <v>445</v>
      </c>
      <c r="E41" s="9" t="s">
        <v>112</v>
      </c>
      <c r="F41" s="9" t="s">
        <v>440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441</v>
      </c>
    </row>
    <row r="42" spans="1:15" ht="15.75" hidden="1" customHeight="1">
      <c r="A42" s="9" t="s">
        <v>63</v>
      </c>
      <c r="B42" s="9" t="s">
        <v>64</v>
      </c>
      <c r="C42" s="9" t="s">
        <v>113</v>
      </c>
      <c r="D42" s="9" t="s">
        <v>451</v>
      </c>
      <c r="E42" s="9" t="s">
        <v>114</v>
      </c>
      <c r="F42" s="9" t="s">
        <v>452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453</v>
      </c>
    </row>
    <row r="43" spans="1:15" ht="15.75" hidden="1" customHeight="1">
      <c r="A43" s="9" t="s">
        <v>63</v>
      </c>
      <c r="B43" s="9" t="s">
        <v>64</v>
      </c>
      <c r="C43" s="9" t="s">
        <v>115</v>
      </c>
      <c r="D43" s="9" t="s">
        <v>451</v>
      </c>
      <c r="E43" s="9" t="s">
        <v>117</v>
      </c>
      <c r="F43" s="9" t="s">
        <v>452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453</v>
      </c>
    </row>
    <row r="44" spans="1:15" ht="15.75" hidden="1" customHeight="1">
      <c r="A44" s="9" t="s">
        <v>63</v>
      </c>
      <c r="B44" s="9" t="s">
        <v>64</v>
      </c>
      <c r="C44" s="9" t="s">
        <v>118</v>
      </c>
      <c r="D44" s="9" t="s">
        <v>468</v>
      </c>
      <c r="E44" s="9" t="s">
        <v>120</v>
      </c>
      <c r="F44" s="9" t="s">
        <v>466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467</v>
      </c>
    </row>
    <row r="45" spans="1:15" ht="15.75" hidden="1" customHeight="1">
      <c r="A45" s="9" t="s">
        <v>63</v>
      </c>
      <c r="B45" s="9" t="s">
        <v>64</v>
      </c>
      <c r="C45" s="9" t="s">
        <v>121</v>
      </c>
      <c r="D45" s="9" t="s">
        <v>442</v>
      </c>
      <c r="E45" s="9" t="s">
        <v>122</v>
      </c>
      <c r="F45" s="9" t="s">
        <v>443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444</v>
      </c>
    </row>
    <row r="46" spans="1:15" ht="15.75" hidden="1" customHeight="1">
      <c r="A46" s="9" t="s">
        <v>63</v>
      </c>
      <c r="B46" s="9" t="s">
        <v>64</v>
      </c>
      <c r="C46" s="9" t="s">
        <v>123</v>
      </c>
      <c r="D46" s="9" t="s">
        <v>459</v>
      </c>
      <c r="E46" s="9" t="s">
        <v>124</v>
      </c>
      <c r="F46" s="9" t="s">
        <v>462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463</v>
      </c>
    </row>
    <row r="47" spans="1:15" ht="15.75" hidden="1" customHeight="1">
      <c r="A47" s="9" t="s">
        <v>63</v>
      </c>
      <c r="B47" s="9" t="s">
        <v>64</v>
      </c>
      <c r="C47" s="9" t="s">
        <v>125</v>
      </c>
      <c r="D47" s="9" t="s">
        <v>459</v>
      </c>
      <c r="E47" s="9" t="s">
        <v>126</v>
      </c>
      <c r="F47" s="9" t="s">
        <v>462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463</v>
      </c>
    </row>
    <row r="48" spans="1:15" ht="15.75" hidden="1" customHeight="1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457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458</v>
      </c>
    </row>
    <row r="49" spans="1:15" ht="15.75" hidden="1" customHeight="1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457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458</v>
      </c>
    </row>
    <row r="50" spans="1:15" ht="15.75" hidden="1" customHeight="1">
      <c r="A50" s="9" t="s">
        <v>63</v>
      </c>
      <c r="B50" s="9" t="s">
        <v>64</v>
      </c>
      <c r="C50" s="9" t="s">
        <v>132</v>
      </c>
      <c r="D50" s="9" t="s">
        <v>475</v>
      </c>
      <c r="E50" s="9" t="s">
        <v>134</v>
      </c>
      <c r="F50" s="9" t="s">
        <v>476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477</v>
      </c>
    </row>
    <row r="51" spans="1:15" ht="13" hidden="1" customHeight="1">
      <c r="A51" s="9" t="s">
        <v>63</v>
      </c>
      <c r="B51" s="9" t="s">
        <v>16</v>
      </c>
      <c r="C51" s="9" t="s">
        <v>135</v>
      </c>
      <c r="D51" s="9" t="s">
        <v>451</v>
      </c>
      <c r="E51" s="9" t="s">
        <v>136</v>
      </c>
      <c r="F51" s="9" t="s">
        <v>452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453</v>
      </c>
    </row>
    <row r="52" spans="1:15" ht="13" hidden="1" customHeight="1">
      <c r="A52" s="9" t="s">
        <v>63</v>
      </c>
      <c r="B52" s="9" t="s">
        <v>16</v>
      </c>
      <c r="C52" s="9" t="s">
        <v>137</v>
      </c>
      <c r="D52" s="9" t="s">
        <v>468</v>
      </c>
      <c r="E52" s="9" t="s">
        <v>138</v>
      </c>
      <c r="F52" s="9" t="s">
        <v>466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467</v>
      </c>
    </row>
    <row r="53" spans="1:15" s="27" customFormat="1" ht="13" hidden="1" customHeight="1">
      <c r="A53" s="27" t="s">
        <v>63</v>
      </c>
      <c r="B53" s="27" t="s">
        <v>16</v>
      </c>
      <c r="C53" s="27" t="s">
        <v>139</v>
      </c>
      <c r="D53" s="27" t="s">
        <v>341</v>
      </c>
      <c r="E53" s="27" t="s">
        <v>141</v>
      </c>
      <c r="F53" s="27" t="s">
        <v>485</v>
      </c>
      <c r="G53" s="27" t="s">
        <v>19</v>
      </c>
      <c r="H53" s="27">
        <v>810</v>
      </c>
      <c r="I53" s="27" t="s">
        <v>19</v>
      </c>
      <c r="K53" s="27">
        <v>6</v>
      </c>
      <c r="L53" s="27" t="s">
        <v>20</v>
      </c>
      <c r="M53" s="27">
        <v>0</v>
      </c>
      <c r="N53" s="27">
        <v>0</v>
      </c>
      <c r="O53" s="27" t="s">
        <v>508</v>
      </c>
    </row>
    <row r="54" spans="1:15" ht="13" hidden="1" customHeight="1">
      <c r="A54" s="9" t="s">
        <v>63</v>
      </c>
      <c r="B54" s="9" t="s">
        <v>16</v>
      </c>
      <c r="C54" s="9" t="s">
        <v>142</v>
      </c>
      <c r="D54" s="9" t="s">
        <v>431</v>
      </c>
      <c r="E54" s="9" t="s">
        <v>143</v>
      </c>
      <c r="F54" s="9" t="s">
        <v>422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406</v>
      </c>
    </row>
    <row r="55" spans="1:15" ht="13" hidden="1" customHeight="1">
      <c r="A55" s="9" t="s">
        <v>63</v>
      </c>
      <c r="B55" s="9" t="s">
        <v>16</v>
      </c>
      <c r="C55" s="9" t="s">
        <v>144</v>
      </c>
      <c r="D55" s="9" t="s">
        <v>459</v>
      </c>
      <c r="E55" s="9" t="s">
        <v>50</v>
      </c>
      <c r="F55" s="9" t="s">
        <v>462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464</v>
      </c>
    </row>
    <row r="56" spans="1:15" ht="13" hidden="1" customHeight="1">
      <c r="A56" s="9" t="s">
        <v>63</v>
      </c>
      <c r="B56" s="9" t="s">
        <v>16</v>
      </c>
      <c r="C56" s="9" t="s">
        <v>145</v>
      </c>
      <c r="D56" s="9" t="s">
        <v>480</v>
      </c>
      <c r="E56" s="9" t="s">
        <v>147</v>
      </c>
      <c r="F56" s="9" t="s">
        <v>471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472</v>
      </c>
    </row>
    <row r="57" spans="1:15" ht="13" hidden="1" customHeight="1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478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492</v>
      </c>
    </row>
    <row r="58" spans="1:15" ht="13" hidden="1" customHeight="1">
      <c r="A58" s="9" t="s">
        <v>63</v>
      </c>
      <c r="B58" s="9" t="s">
        <v>16</v>
      </c>
      <c r="C58" s="9" t="s">
        <v>61</v>
      </c>
      <c r="D58" s="9" t="s">
        <v>199</v>
      </c>
      <c r="E58" s="9" t="s">
        <v>62</v>
      </c>
      <c r="F58" s="9" t="s">
        <v>478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492</v>
      </c>
    </row>
    <row r="59" spans="1:15" ht="13" hidden="1" customHeight="1">
      <c r="A59" s="9" t="s">
        <v>63</v>
      </c>
      <c r="B59" s="9" t="s">
        <v>16</v>
      </c>
      <c r="C59" s="9" t="s">
        <v>493</v>
      </c>
      <c r="D59" s="9" t="s">
        <v>437</v>
      </c>
      <c r="E59" s="9" t="s">
        <v>149</v>
      </c>
      <c r="F59" s="9" t="s">
        <v>438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354</v>
      </c>
    </row>
    <row r="60" spans="1:15" ht="13" hidden="1" customHeight="1">
      <c r="A60" s="9" t="s">
        <v>63</v>
      </c>
      <c r="B60" s="9" t="s">
        <v>16</v>
      </c>
      <c r="C60" s="9" t="s">
        <v>152</v>
      </c>
      <c r="D60" s="9" t="s">
        <v>425</v>
      </c>
      <c r="E60" s="9" t="s">
        <v>153</v>
      </c>
      <c r="F60" s="9" t="s">
        <v>423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424</v>
      </c>
    </row>
    <row r="61" spans="1:15" ht="13" hidden="1" customHeight="1">
      <c r="A61" s="9" t="s">
        <v>63</v>
      </c>
      <c r="B61" s="9" t="s">
        <v>16</v>
      </c>
      <c r="C61" s="9" t="s">
        <v>154</v>
      </c>
      <c r="D61" s="9" t="s">
        <v>456</v>
      </c>
      <c r="E61" s="9" t="s">
        <v>155</v>
      </c>
      <c r="F61" s="9" t="s">
        <v>423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424</v>
      </c>
    </row>
    <row r="62" spans="1:15" ht="13" hidden="1" customHeight="1">
      <c r="A62" s="9" t="s">
        <v>63</v>
      </c>
      <c r="B62" s="9" t="s">
        <v>16</v>
      </c>
      <c r="C62" s="9" t="s">
        <v>156</v>
      </c>
      <c r="D62" s="9" t="s">
        <v>436</v>
      </c>
      <c r="E62" s="9" t="s">
        <v>157</v>
      </c>
      <c r="F62" s="9" t="s">
        <v>423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424</v>
      </c>
    </row>
    <row r="63" spans="1:15" ht="13" hidden="1" customHeight="1">
      <c r="A63" s="9" t="s">
        <v>63</v>
      </c>
      <c r="B63" s="9" t="s">
        <v>16</v>
      </c>
      <c r="C63" s="9" t="s">
        <v>158</v>
      </c>
      <c r="D63" s="9" t="s">
        <v>159</v>
      </c>
      <c r="E63" s="9" t="s">
        <v>160</v>
      </c>
      <c r="F63" s="9" t="s">
        <v>423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424</v>
      </c>
    </row>
    <row r="64" spans="1:15" ht="13" hidden="1" customHeight="1">
      <c r="A64" s="9" t="s">
        <v>63</v>
      </c>
      <c r="B64" s="9" t="s">
        <v>64</v>
      </c>
      <c r="C64" s="9" t="s">
        <v>162</v>
      </c>
      <c r="D64" s="9" t="s">
        <v>421</v>
      </c>
      <c r="E64" s="9" t="s">
        <v>164</v>
      </c>
      <c r="F64" s="9" t="s">
        <v>422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406</v>
      </c>
    </row>
    <row r="65" spans="1:15" ht="13" hidden="1" customHeight="1">
      <c r="A65" s="9" t="s">
        <v>63</v>
      </c>
      <c r="B65" s="9" t="s">
        <v>64</v>
      </c>
      <c r="C65" s="9" t="s">
        <v>165</v>
      </c>
      <c r="D65" s="9" t="s">
        <v>451</v>
      </c>
      <c r="E65" s="9" t="s">
        <v>166</v>
      </c>
      <c r="F65" s="9" t="s">
        <v>452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453</v>
      </c>
    </row>
    <row r="66" spans="1:15" ht="13" hidden="1" customHeight="1">
      <c r="A66" s="9" t="s">
        <v>63</v>
      </c>
      <c r="B66" s="9" t="s">
        <v>64</v>
      </c>
      <c r="C66" s="9" t="s">
        <v>167</v>
      </c>
      <c r="D66" s="9" t="s">
        <v>468</v>
      </c>
      <c r="E66" s="9" t="s">
        <v>169</v>
      </c>
      <c r="F66" s="9" t="s">
        <v>466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467</v>
      </c>
    </row>
    <row r="67" spans="1:15" ht="13" hidden="1" customHeight="1">
      <c r="A67" s="9" t="s">
        <v>63</v>
      </c>
      <c r="B67" s="9" t="s">
        <v>64</v>
      </c>
      <c r="C67" s="9" t="s">
        <v>170</v>
      </c>
      <c r="D67" s="9" t="s">
        <v>451</v>
      </c>
      <c r="E67" s="9" t="s">
        <v>171</v>
      </c>
      <c r="F67" s="9" t="s">
        <v>452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453</v>
      </c>
    </row>
    <row r="68" spans="1:15" ht="13" hidden="1" customHeight="1">
      <c r="A68" s="9" t="s">
        <v>63</v>
      </c>
      <c r="B68" s="9" t="s">
        <v>64</v>
      </c>
      <c r="C68" s="9" t="s">
        <v>172</v>
      </c>
      <c r="D68" s="9" t="s">
        <v>40</v>
      </c>
      <c r="E68" s="9" t="s">
        <v>173</v>
      </c>
      <c r="F68" s="9" t="s">
        <v>460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461</v>
      </c>
    </row>
    <row r="69" spans="1:15" ht="13" hidden="1" customHeight="1">
      <c r="A69" s="9" t="s">
        <v>63</v>
      </c>
      <c r="B69" s="9" t="s">
        <v>64</v>
      </c>
      <c r="C69" s="9" t="s">
        <v>174</v>
      </c>
      <c r="D69" s="9" t="s">
        <v>459</v>
      </c>
      <c r="E69" s="9" t="s">
        <v>124</v>
      </c>
      <c r="F69" s="9" t="s">
        <v>462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463</v>
      </c>
    </row>
    <row r="70" spans="1:15" ht="13" hidden="1" customHeight="1">
      <c r="A70" s="9" t="s">
        <v>63</v>
      </c>
      <c r="B70" s="9" t="s">
        <v>64</v>
      </c>
      <c r="C70" s="9" t="s">
        <v>175</v>
      </c>
      <c r="D70" s="9" t="s">
        <v>425</v>
      </c>
      <c r="E70" s="9" t="s">
        <v>176</v>
      </c>
      <c r="F70" s="9" t="s">
        <v>423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424</v>
      </c>
    </row>
    <row r="71" spans="1:15" ht="13" hidden="1" customHeight="1">
      <c r="A71" s="9" t="s">
        <v>63</v>
      </c>
      <c r="B71" s="9" t="s">
        <v>64</v>
      </c>
      <c r="C71" s="9" t="s">
        <v>179</v>
      </c>
      <c r="D71" s="9" t="s">
        <v>206</v>
      </c>
      <c r="E71" s="9" t="s">
        <v>181</v>
      </c>
      <c r="F71" s="9" t="s">
        <v>423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424</v>
      </c>
    </row>
    <row r="72" spans="1:15" ht="13" hidden="1" customHeight="1">
      <c r="A72" s="9" t="s">
        <v>63</v>
      </c>
      <c r="B72" s="9" t="s">
        <v>16</v>
      </c>
      <c r="C72" s="9" t="s">
        <v>182</v>
      </c>
      <c r="D72" s="9" t="s">
        <v>481</v>
      </c>
      <c r="E72" s="9" t="s">
        <v>69</v>
      </c>
      <c r="F72" s="9" t="s">
        <v>482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483</v>
      </c>
    </row>
    <row r="73" spans="1:15" ht="13" hidden="1" customHeight="1">
      <c r="A73" s="9" t="s">
        <v>63</v>
      </c>
      <c r="B73" s="9" t="s">
        <v>80</v>
      </c>
      <c r="C73" s="9" t="s">
        <v>183</v>
      </c>
      <c r="D73" s="9" t="s">
        <v>451</v>
      </c>
      <c r="E73" s="9" t="s">
        <v>184</v>
      </c>
      <c r="F73" s="9" t="s">
        <v>452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453</v>
      </c>
    </row>
    <row r="74" spans="1:15" ht="13" hidden="1" customHeight="1">
      <c r="A74" s="9" t="s">
        <v>63</v>
      </c>
      <c r="B74" s="9" t="s">
        <v>80</v>
      </c>
      <c r="C74" s="9" t="s">
        <v>185</v>
      </c>
      <c r="D74" s="9" t="s">
        <v>468</v>
      </c>
      <c r="E74" s="9" t="s">
        <v>186</v>
      </c>
      <c r="F74" s="9" t="s">
        <v>466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467</v>
      </c>
    </row>
    <row r="75" spans="1:15" ht="13" hidden="1" customHeight="1">
      <c r="A75" s="9" t="s">
        <v>63</v>
      </c>
      <c r="B75" s="9" t="s">
        <v>80</v>
      </c>
      <c r="C75" s="9" t="s">
        <v>187</v>
      </c>
      <c r="D75" s="9" t="s">
        <v>487</v>
      </c>
      <c r="E75" s="9" t="s">
        <v>188</v>
      </c>
      <c r="F75" s="9" t="s">
        <v>488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489</v>
      </c>
    </row>
    <row r="76" spans="1:15" ht="13" hidden="1" customHeight="1">
      <c r="A76" s="9" t="s">
        <v>63</v>
      </c>
      <c r="B76" s="9" t="s">
        <v>80</v>
      </c>
      <c r="C76" s="9" t="s">
        <v>189</v>
      </c>
      <c r="D76" s="9" t="s">
        <v>341</v>
      </c>
      <c r="E76" s="9" t="s">
        <v>190</v>
      </c>
      <c r="F76" s="9" t="s">
        <v>485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486</v>
      </c>
    </row>
    <row r="77" spans="1:15" ht="13" hidden="1" customHeight="1">
      <c r="A77" s="9" t="s">
        <v>63</v>
      </c>
      <c r="B77" s="9" t="s">
        <v>80</v>
      </c>
      <c r="C77" s="9" t="s">
        <v>191</v>
      </c>
      <c r="D77" s="9" t="s">
        <v>40</v>
      </c>
      <c r="E77" s="9" t="s">
        <v>173</v>
      </c>
      <c r="F77" s="9" t="s">
        <v>460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461</v>
      </c>
    </row>
    <row r="78" spans="1:15" ht="13" hidden="1" customHeight="1">
      <c r="A78" s="9" t="s">
        <v>63</v>
      </c>
      <c r="B78" s="9" t="s">
        <v>80</v>
      </c>
      <c r="C78" s="9" t="s">
        <v>192</v>
      </c>
      <c r="D78" s="9" t="s">
        <v>35</v>
      </c>
      <c r="E78" s="9" t="s">
        <v>129</v>
      </c>
      <c r="F78" s="9" t="s">
        <v>457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458</v>
      </c>
    </row>
    <row r="79" spans="1:15" ht="13" hidden="1" customHeight="1">
      <c r="A79" s="9" t="s">
        <v>63</v>
      </c>
      <c r="B79" s="9" t="s">
        <v>80</v>
      </c>
      <c r="C79" s="9" t="s">
        <v>193</v>
      </c>
      <c r="D79" s="9" t="s">
        <v>35</v>
      </c>
      <c r="E79" s="9" t="s">
        <v>131</v>
      </c>
      <c r="F79" s="9" t="s">
        <v>457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458</v>
      </c>
    </row>
    <row r="80" spans="1:15" ht="13" hidden="1" customHeight="1">
      <c r="A80" s="9" t="s">
        <v>63</v>
      </c>
      <c r="B80" s="9" t="s">
        <v>80</v>
      </c>
      <c r="C80" s="9" t="s">
        <v>194</v>
      </c>
      <c r="D80" s="9" t="s">
        <v>480</v>
      </c>
      <c r="E80" s="9" t="s">
        <v>147</v>
      </c>
      <c r="F80" s="9" t="s">
        <v>471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472</v>
      </c>
    </row>
    <row r="81" spans="1:15" ht="13" hidden="1" customHeight="1">
      <c r="A81" s="9" t="s">
        <v>63</v>
      </c>
      <c r="B81" s="9" t="s">
        <v>80</v>
      </c>
      <c r="C81" s="9" t="s">
        <v>195</v>
      </c>
      <c r="D81" s="9" t="s">
        <v>59</v>
      </c>
      <c r="E81" s="9" t="s">
        <v>66</v>
      </c>
      <c r="F81" s="9" t="s">
        <v>478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479</v>
      </c>
    </row>
    <row r="82" spans="1:15" ht="13" hidden="1" customHeight="1">
      <c r="A82" s="9" t="s">
        <v>63</v>
      </c>
      <c r="B82" s="9" t="s">
        <v>80</v>
      </c>
      <c r="C82" s="9" t="s">
        <v>196</v>
      </c>
      <c r="D82" s="9" t="s">
        <v>197</v>
      </c>
      <c r="E82" s="9" t="s">
        <v>57</v>
      </c>
      <c r="F82" s="9" t="s">
        <v>473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474</v>
      </c>
    </row>
    <row r="83" spans="1:15" ht="13" hidden="1" customHeight="1">
      <c r="A83" s="9" t="s">
        <v>63</v>
      </c>
      <c r="B83" s="9" t="s">
        <v>80</v>
      </c>
      <c r="C83" s="9" t="s">
        <v>198</v>
      </c>
      <c r="D83" s="9" t="s">
        <v>199</v>
      </c>
      <c r="E83" s="9" t="s">
        <v>62</v>
      </c>
      <c r="F83" s="9" t="s">
        <v>478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479</v>
      </c>
    </row>
    <row r="84" spans="1:15" ht="13" hidden="1" customHeight="1">
      <c r="A84" s="9" t="s">
        <v>63</v>
      </c>
      <c r="B84" s="9" t="s">
        <v>80</v>
      </c>
      <c r="C84" s="9" t="s">
        <v>200</v>
      </c>
      <c r="D84" s="9" t="s">
        <v>437</v>
      </c>
      <c r="E84" s="9" t="s">
        <v>201</v>
      </c>
      <c r="F84" s="9" t="s">
        <v>438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354</v>
      </c>
    </row>
    <row r="85" spans="1:15" ht="13" hidden="1" customHeight="1">
      <c r="A85" s="9" t="s">
        <v>63</v>
      </c>
      <c r="B85" s="9" t="s">
        <v>80</v>
      </c>
      <c r="C85" s="9" t="s">
        <v>203</v>
      </c>
      <c r="D85" s="9" t="s">
        <v>425</v>
      </c>
      <c r="E85" s="9" t="s">
        <v>72</v>
      </c>
      <c r="F85" s="9" t="s">
        <v>423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424</v>
      </c>
    </row>
    <row r="86" spans="1:15" ht="13" hidden="1" customHeight="1">
      <c r="A86" s="9" t="s">
        <v>63</v>
      </c>
      <c r="B86" s="9" t="s">
        <v>80</v>
      </c>
      <c r="C86" s="9" t="s">
        <v>204</v>
      </c>
      <c r="D86" s="9" t="s">
        <v>456</v>
      </c>
      <c r="E86" s="9" t="s">
        <v>75</v>
      </c>
      <c r="F86" s="9" t="s">
        <v>423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424</v>
      </c>
    </row>
    <row r="87" spans="1:15" ht="13" hidden="1" customHeight="1">
      <c r="A87" s="9" t="s">
        <v>63</v>
      </c>
      <c r="B87" s="9" t="s">
        <v>80</v>
      </c>
      <c r="C87" s="9" t="s">
        <v>205</v>
      </c>
      <c r="D87" s="9" t="s">
        <v>436</v>
      </c>
      <c r="E87" s="9" t="s">
        <v>78</v>
      </c>
      <c r="F87" s="9" t="s">
        <v>423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424</v>
      </c>
    </row>
    <row r="88" spans="1:15" ht="13" hidden="1" customHeight="1">
      <c r="A88" s="9" t="s">
        <v>63</v>
      </c>
      <c r="B88" s="9" t="s">
        <v>80</v>
      </c>
      <c r="C88" s="9" t="s">
        <v>207</v>
      </c>
      <c r="D88" s="9" t="s">
        <v>159</v>
      </c>
      <c r="E88" s="9" t="s">
        <v>160</v>
      </c>
      <c r="F88" s="9" t="s">
        <v>423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424</v>
      </c>
    </row>
    <row r="89" spans="1:15" ht="13" hidden="1" customHeight="1">
      <c r="A89" s="9" t="s">
        <v>63</v>
      </c>
      <c r="B89" s="9" t="s">
        <v>80</v>
      </c>
      <c r="C89" s="9" t="s">
        <v>68</v>
      </c>
      <c r="D89" s="9" t="s">
        <v>481</v>
      </c>
      <c r="E89" s="9" t="s">
        <v>208</v>
      </c>
      <c r="F89" s="9" t="s">
        <v>482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483</v>
      </c>
    </row>
    <row r="90" spans="1:15" ht="13" hidden="1" customHeight="1">
      <c r="A90" s="9" t="s">
        <v>63</v>
      </c>
      <c r="B90" s="9" t="s">
        <v>80</v>
      </c>
      <c r="C90" s="9" t="s">
        <v>209</v>
      </c>
      <c r="D90" s="9" t="s">
        <v>428</v>
      </c>
      <c r="E90" s="9" t="s">
        <v>210</v>
      </c>
      <c r="F90" s="9" t="s">
        <v>429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430</v>
      </c>
    </row>
    <row r="91" spans="1:15" ht="13" hidden="1" customHeight="1">
      <c r="A91" s="9" t="s">
        <v>63</v>
      </c>
      <c r="B91" s="9" t="s">
        <v>80</v>
      </c>
      <c r="C91" s="9" t="s">
        <v>211</v>
      </c>
      <c r="D91" s="9" t="s">
        <v>451</v>
      </c>
      <c r="E91" s="9" t="s">
        <v>184</v>
      </c>
      <c r="F91" s="9" t="s">
        <v>452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453</v>
      </c>
    </row>
    <row r="92" spans="1:15" ht="13" hidden="1" customHeight="1">
      <c r="A92" s="9" t="s">
        <v>63</v>
      </c>
      <c r="B92" s="9" t="s">
        <v>80</v>
      </c>
      <c r="C92" s="9" t="s">
        <v>212</v>
      </c>
      <c r="D92" s="9" t="s">
        <v>468</v>
      </c>
      <c r="E92" s="9" t="s">
        <v>186</v>
      </c>
      <c r="F92" s="9" t="s">
        <v>466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467</v>
      </c>
    </row>
    <row r="93" spans="1:15" ht="13" hidden="1" customHeight="1">
      <c r="A93" s="9" t="s">
        <v>63</v>
      </c>
      <c r="B93" s="9" t="s">
        <v>80</v>
      </c>
      <c r="C93" s="9" t="s">
        <v>187</v>
      </c>
      <c r="D93" s="9" t="s">
        <v>487</v>
      </c>
      <c r="E93" s="9" t="s">
        <v>188</v>
      </c>
      <c r="F93" s="9" t="s">
        <v>488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489</v>
      </c>
    </row>
    <row r="94" spans="1:15" ht="13" hidden="1" customHeight="1">
      <c r="A94" s="9" t="s">
        <v>63</v>
      </c>
      <c r="B94" s="9" t="s">
        <v>80</v>
      </c>
      <c r="C94" s="9" t="s">
        <v>189</v>
      </c>
      <c r="D94" s="9" t="s">
        <v>341</v>
      </c>
      <c r="E94" s="9" t="s">
        <v>190</v>
      </c>
      <c r="F94" s="9" t="s">
        <v>485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486</v>
      </c>
    </row>
    <row r="95" spans="1:15" ht="13" hidden="1" customHeight="1">
      <c r="A95" s="9" t="s">
        <v>63</v>
      </c>
      <c r="B95" s="9" t="s">
        <v>80</v>
      </c>
      <c r="C95" s="9" t="s">
        <v>213</v>
      </c>
      <c r="D95" s="9" t="s">
        <v>442</v>
      </c>
      <c r="E95" s="9" t="s">
        <v>214</v>
      </c>
      <c r="F95" s="9" t="s">
        <v>443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444</v>
      </c>
    </row>
    <row r="96" spans="1:15" ht="13" hidden="1" customHeight="1">
      <c r="A96" s="9" t="s">
        <v>63</v>
      </c>
      <c r="B96" s="9" t="s">
        <v>80</v>
      </c>
      <c r="C96" s="9" t="s">
        <v>192</v>
      </c>
      <c r="D96" s="9" t="s">
        <v>35</v>
      </c>
      <c r="E96" s="9" t="s">
        <v>129</v>
      </c>
      <c r="F96" s="9" t="s">
        <v>457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458</v>
      </c>
    </row>
    <row r="97" spans="1:15" ht="13" hidden="1" customHeight="1">
      <c r="A97" s="9" t="s">
        <v>63</v>
      </c>
      <c r="B97" s="9" t="s">
        <v>80</v>
      </c>
      <c r="C97" s="9" t="s">
        <v>194</v>
      </c>
      <c r="D97" s="9" t="s">
        <v>480</v>
      </c>
      <c r="E97" s="9" t="s">
        <v>147</v>
      </c>
      <c r="F97" s="9" t="s">
        <v>471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472</v>
      </c>
    </row>
    <row r="98" spans="1:15" ht="13" hidden="1" customHeight="1">
      <c r="A98" s="9" t="s">
        <v>63</v>
      </c>
      <c r="B98" s="9" t="s">
        <v>80</v>
      </c>
      <c r="C98" s="9" t="s">
        <v>215</v>
      </c>
      <c r="D98" s="9" t="s">
        <v>59</v>
      </c>
      <c r="E98" s="9" t="s">
        <v>66</v>
      </c>
      <c r="F98" s="9" t="s">
        <v>478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479</v>
      </c>
    </row>
    <row r="99" spans="1:15" ht="13" hidden="1" customHeight="1">
      <c r="A99" s="9" t="s">
        <v>63</v>
      </c>
      <c r="B99" s="9" t="s">
        <v>80</v>
      </c>
      <c r="C99" s="9" t="s">
        <v>216</v>
      </c>
      <c r="D99" s="9" t="s">
        <v>197</v>
      </c>
      <c r="E99" s="9" t="s">
        <v>57</v>
      </c>
      <c r="F99" s="9" t="s">
        <v>473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474</v>
      </c>
    </row>
    <row r="100" spans="1:15" ht="13" hidden="1" customHeight="1">
      <c r="A100" s="9" t="s">
        <v>63</v>
      </c>
      <c r="B100" s="9" t="s">
        <v>80</v>
      </c>
      <c r="C100" s="9" t="s">
        <v>217</v>
      </c>
      <c r="D100" s="9" t="s">
        <v>199</v>
      </c>
      <c r="E100" s="9" t="s">
        <v>62</v>
      </c>
      <c r="F100" s="9" t="s">
        <v>478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479</v>
      </c>
    </row>
    <row r="101" spans="1:15" ht="13" hidden="1" customHeight="1">
      <c r="A101" s="9" t="s">
        <v>63</v>
      </c>
      <c r="B101" s="9" t="s">
        <v>80</v>
      </c>
      <c r="C101" s="9" t="s">
        <v>218</v>
      </c>
      <c r="D101" s="9" t="s">
        <v>437</v>
      </c>
      <c r="E101" s="9" t="s">
        <v>219</v>
      </c>
      <c r="F101" s="9" t="s">
        <v>438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354</v>
      </c>
    </row>
    <row r="102" spans="1:15" ht="13" hidden="1" customHeight="1">
      <c r="A102" s="9" t="s">
        <v>63</v>
      </c>
      <c r="B102" s="9" t="s">
        <v>80</v>
      </c>
      <c r="C102" s="9" t="s">
        <v>203</v>
      </c>
      <c r="D102" s="9" t="s">
        <v>425</v>
      </c>
      <c r="E102" s="9" t="s">
        <v>72</v>
      </c>
      <c r="F102" s="9" t="s">
        <v>423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424</v>
      </c>
    </row>
    <row r="103" spans="1:15" ht="13" hidden="1" customHeight="1">
      <c r="A103" s="9" t="s">
        <v>63</v>
      </c>
      <c r="B103" s="9" t="s">
        <v>80</v>
      </c>
      <c r="C103" s="9" t="s">
        <v>204</v>
      </c>
      <c r="D103" s="9" t="s">
        <v>456</v>
      </c>
      <c r="E103" s="9" t="s">
        <v>75</v>
      </c>
      <c r="F103" s="9" t="s">
        <v>423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424</v>
      </c>
    </row>
    <row r="104" spans="1:15" ht="13" hidden="1" customHeight="1">
      <c r="A104" s="9" t="s">
        <v>63</v>
      </c>
      <c r="B104" s="9" t="s">
        <v>80</v>
      </c>
      <c r="C104" s="9" t="s">
        <v>205</v>
      </c>
      <c r="D104" s="9" t="s">
        <v>436</v>
      </c>
      <c r="E104" s="9" t="s">
        <v>78</v>
      </c>
      <c r="F104" s="9" t="s">
        <v>423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424</v>
      </c>
    </row>
    <row r="105" spans="1:15" ht="13" hidden="1" customHeight="1">
      <c r="A105" s="9" t="s">
        <v>63</v>
      </c>
      <c r="B105" s="9" t="s">
        <v>80</v>
      </c>
      <c r="C105" s="9" t="s">
        <v>221</v>
      </c>
      <c r="D105" s="9" t="s">
        <v>159</v>
      </c>
      <c r="E105" s="9" t="s">
        <v>222</v>
      </c>
      <c r="F105" s="9" t="s">
        <v>423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424</v>
      </c>
    </row>
    <row r="106" spans="1:15" ht="13" hidden="1" customHeight="1">
      <c r="A106" s="9" t="s">
        <v>63</v>
      </c>
      <c r="B106" s="9" t="s">
        <v>80</v>
      </c>
      <c r="C106" s="9" t="s">
        <v>68</v>
      </c>
      <c r="D106" s="9" t="s">
        <v>481</v>
      </c>
      <c r="E106" s="9" t="s">
        <v>208</v>
      </c>
      <c r="F106" s="9" t="s">
        <v>482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483</v>
      </c>
    </row>
    <row r="107" spans="1:15" ht="13" hidden="1" customHeight="1">
      <c r="A107" s="9" t="s">
        <v>63</v>
      </c>
      <c r="B107" s="9" t="s">
        <v>80</v>
      </c>
      <c r="C107" s="9" t="s">
        <v>209</v>
      </c>
      <c r="D107" s="9" t="s">
        <v>428</v>
      </c>
      <c r="E107" s="9" t="s">
        <v>210</v>
      </c>
      <c r="F107" s="9" t="s">
        <v>429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430</v>
      </c>
    </row>
    <row r="108" spans="1:15" ht="13" hidden="1" customHeight="1">
      <c r="A108" s="9" t="s">
        <v>63</v>
      </c>
      <c r="B108" s="9" t="s">
        <v>80</v>
      </c>
      <c r="C108" s="9" t="s">
        <v>223</v>
      </c>
      <c r="D108" s="9" t="s">
        <v>421</v>
      </c>
      <c r="E108" s="9" t="s">
        <v>224</v>
      </c>
      <c r="F108" s="9" t="s">
        <v>422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406</v>
      </c>
    </row>
    <row r="109" spans="1:15" ht="13" customHeight="1">
      <c r="A109" s="9" t="s">
        <v>63</v>
      </c>
      <c r="B109" s="9" t="s">
        <v>16</v>
      </c>
      <c r="C109" s="9" t="s">
        <v>225</v>
      </c>
      <c r="D109" s="9" t="s">
        <v>40</v>
      </c>
      <c r="E109" s="9" t="s">
        <v>226</v>
      </c>
      <c r="F109" s="9" t="s">
        <v>462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514</v>
      </c>
    </row>
    <row r="110" spans="1:15" ht="13" hidden="1" customHeight="1">
      <c r="A110" s="9" t="s">
        <v>63</v>
      </c>
      <c r="B110" s="9" t="s">
        <v>16</v>
      </c>
      <c r="C110" s="9" t="s">
        <v>227</v>
      </c>
      <c r="D110" s="9" t="s">
        <v>40</v>
      </c>
      <c r="E110" s="9" t="s">
        <v>228</v>
      </c>
      <c r="F110" s="9" t="s">
        <v>460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461</v>
      </c>
    </row>
    <row r="111" spans="1:15" ht="13" hidden="1" customHeight="1">
      <c r="A111" s="9" t="s">
        <v>63</v>
      </c>
      <c r="B111" s="9" t="s">
        <v>16</v>
      </c>
      <c r="C111" s="9" t="s">
        <v>229</v>
      </c>
      <c r="D111" s="9" t="s">
        <v>459</v>
      </c>
      <c r="E111" s="9" t="s">
        <v>41</v>
      </c>
      <c r="F111" s="9" t="s">
        <v>462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494</v>
      </c>
    </row>
    <row r="112" spans="1:15" ht="13" hidden="1" customHeight="1">
      <c r="A112" s="9" t="s">
        <v>63</v>
      </c>
      <c r="B112" s="9" t="s">
        <v>16</v>
      </c>
      <c r="C112" s="9" t="s">
        <v>495</v>
      </c>
      <c r="D112" s="9" t="s">
        <v>437</v>
      </c>
      <c r="E112" s="9" t="s">
        <v>381</v>
      </c>
      <c r="F112" s="9" t="s">
        <v>490</v>
      </c>
      <c r="G112" s="9" t="s">
        <v>32</v>
      </c>
      <c r="H112" s="8">
        <v>6136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491</v>
      </c>
    </row>
    <row r="113" spans="1:15" ht="13" hidden="1" customHeight="1">
      <c r="A113" s="9" t="s">
        <v>63</v>
      </c>
      <c r="B113" s="9" t="s">
        <v>16</v>
      </c>
      <c r="C113" s="9" t="s">
        <v>382</v>
      </c>
      <c r="D113" s="9" t="s">
        <v>437</v>
      </c>
      <c r="E113" s="9" t="s">
        <v>383</v>
      </c>
      <c r="F113" s="9" t="s">
        <v>438</v>
      </c>
      <c r="G113" s="9" t="s">
        <v>32</v>
      </c>
      <c r="H113" s="8">
        <v>3800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354</v>
      </c>
    </row>
    <row r="114" spans="1:15" ht="13" hidden="1" customHeight="1">
      <c r="A114" s="9" t="s">
        <v>63</v>
      </c>
      <c r="B114" s="9" t="s">
        <v>16</v>
      </c>
      <c r="C114" s="9" t="s">
        <v>384</v>
      </c>
      <c r="D114" s="9" t="s">
        <v>437</v>
      </c>
      <c r="E114" s="9" t="s">
        <v>385</v>
      </c>
      <c r="F114" s="9" t="s">
        <v>438</v>
      </c>
      <c r="G114" s="9" t="s">
        <v>32</v>
      </c>
      <c r="H114" s="8">
        <v>3323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354</v>
      </c>
    </row>
    <row r="115" spans="1:15" ht="13" hidden="1" customHeight="1">
      <c r="A115" s="9" t="s">
        <v>63</v>
      </c>
      <c r="B115" s="9" t="s">
        <v>64</v>
      </c>
      <c r="C115" s="9" t="s">
        <v>496</v>
      </c>
      <c r="D115" s="9" t="s">
        <v>437</v>
      </c>
      <c r="E115" s="9" t="s">
        <v>201</v>
      </c>
      <c r="F115" s="9" t="s">
        <v>438</v>
      </c>
      <c r="G115" s="9" t="s">
        <v>32</v>
      </c>
      <c r="H115" s="8">
        <v>8959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354</v>
      </c>
    </row>
    <row r="116" spans="1:15" ht="13" hidden="1" customHeight="1">
      <c r="A116" s="9" t="s">
        <v>63</v>
      </c>
      <c r="B116" s="9" t="s">
        <v>64</v>
      </c>
      <c r="C116" s="9" t="s">
        <v>495</v>
      </c>
      <c r="D116" s="9" t="s">
        <v>437</v>
      </c>
      <c r="E116" s="9" t="s">
        <v>381</v>
      </c>
      <c r="F116" s="9" t="s">
        <v>490</v>
      </c>
      <c r="G116" s="9" t="s">
        <v>32</v>
      </c>
      <c r="H116" s="8">
        <v>6136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491</v>
      </c>
    </row>
    <row r="117" spans="1:15" ht="13" hidden="1" customHeight="1">
      <c r="A117" s="9" t="s">
        <v>63</v>
      </c>
      <c r="B117" s="9" t="s">
        <v>64</v>
      </c>
      <c r="C117" s="9" t="s">
        <v>382</v>
      </c>
      <c r="D117" s="9" t="s">
        <v>437</v>
      </c>
      <c r="E117" s="9" t="s">
        <v>383</v>
      </c>
      <c r="F117" s="9" t="s">
        <v>438</v>
      </c>
      <c r="G117" s="9" t="s">
        <v>32</v>
      </c>
      <c r="H117" s="8">
        <v>3800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354</v>
      </c>
    </row>
    <row r="118" spans="1:15" ht="13" hidden="1" customHeight="1">
      <c r="A118" s="9" t="s">
        <v>63</v>
      </c>
      <c r="B118" s="9" t="s">
        <v>64</v>
      </c>
      <c r="C118" s="9" t="s">
        <v>384</v>
      </c>
      <c r="D118" s="9" t="s">
        <v>437</v>
      </c>
      <c r="E118" s="9" t="s">
        <v>385</v>
      </c>
      <c r="F118" s="9" t="s">
        <v>438</v>
      </c>
      <c r="G118" s="9" t="s">
        <v>32</v>
      </c>
      <c r="H118" s="8">
        <v>3323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354</v>
      </c>
    </row>
    <row r="119" spans="1:15" ht="13" hidden="1" customHeight="1">
      <c r="A119" s="9" t="s">
        <v>63</v>
      </c>
      <c r="B119" s="9" t="s">
        <v>80</v>
      </c>
      <c r="C119" s="9" t="s">
        <v>496</v>
      </c>
      <c r="D119" s="9" t="s">
        <v>437</v>
      </c>
      <c r="E119" s="9" t="s">
        <v>201</v>
      </c>
      <c r="F119" s="9" t="s">
        <v>438</v>
      </c>
      <c r="G119" s="9" t="s">
        <v>32</v>
      </c>
      <c r="H119" s="8">
        <v>8959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354</v>
      </c>
    </row>
    <row r="120" spans="1:15" ht="13" hidden="1" customHeight="1">
      <c r="A120" s="9" t="s">
        <v>63</v>
      </c>
      <c r="B120" s="9" t="s">
        <v>80</v>
      </c>
      <c r="C120" s="9" t="s">
        <v>495</v>
      </c>
      <c r="D120" s="9" t="s">
        <v>437</v>
      </c>
      <c r="E120" s="9" t="s">
        <v>381</v>
      </c>
      <c r="F120" s="9" t="s">
        <v>490</v>
      </c>
      <c r="G120" s="9" t="s">
        <v>32</v>
      </c>
      <c r="H120" s="8">
        <v>6136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491</v>
      </c>
    </row>
    <row r="121" spans="1:15" ht="13" hidden="1" customHeight="1">
      <c r="A121" s="9" t="s">
        <v>63</v>
      </c>
      <c r="B121" s="9" t="s">
        <v>80</v>
      </c>
      <c r="C121" s="9" t="s">
        <v>382</v>
      </c>
      <c r="D121" s="9" t="s">
        <v>437</v>
      </c>
      <c r="E121" s="9" t="s">
        <v>383</v>
      </c>
      <c r="F121" s="9" t="s">
        <v>438</v>
      </c>
      <c r="G121" s="9" t="s">
        <v>32</v>
      </c>
      <c r="H121" s="8">
        <v>3800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354</v>
      </c>
    </row>
    <row r="122" spans="1:15" ht="13" hidden="1" customHeight="1">
      <c r="A122" s="9" t="s">
        <v>63</v>
      </c>
      <c r="B122" s="9" t="s">
        <v>80</v>
      </c>
      <c r="C122" s="9" t="s">
        <v>384</v>
      </c>
      <c r="D122" s="9" t="s">
        <v>437</v>
      </c>
      <c r="E122" s="9" t="s">
        <v>385</v>
      </c>
      <c r="F122" s="9" t="s">
        <v>438</v>
      </c>
      <c r="G122" s="9" t="s">
        <v>32</v>
      </c>
      <c r="H122" s="8">
        <v>3323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354</v>
      </c>
    </row>
    <row r="123" spans="1:15" ht="13" hidden="1" customHeight="1">
      <c r="A123" s="9" t="s">
        <v>63</v>
      </c>
      <c r="B123" s="9" t="s">
        <v>80</v>
      </c>
      <c r="C123" s="9" t="s">
        <v>382</v>
      </c>
      <c r="D123" s="9" t="s">
        <v>437</v>
      </c>
      <c r="E123" s="9" t="s">
        <v>383</v>
      </c>
      <c r="F123" s="9" t="s">
        <v>438</v>
      </c>
      <c r="G123" s="9" t="s">
        <v>32</v>
      </c>
      <c r="H123" s="8">
        <v>3800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354</v>
      </c>
    </row>
    <row r="124" spans="1:15" ht="13" hidden="1" customHeight="1">
      <c r="A124" s="9" t="s">
        <v>63</v>
      </c>
      <c r="B124" s="9" t="s">
        <v>80</v>
      </c>
      <c r="C124" s="9" t="s">
        <v>384</v>
      </c>
      <c r="D124" s="9" t="s">
        <v>437</v>
      </c>
      <c r="E124" s="9" t="s">
        <v>385</v>
      </c>
      <c r="F124" s="9" t="s">
        <v>438</v>
      </c>
      <c r="G124" s="9" t="s">
        <v>32</v>
      </c>
      <c r="H124" s="8">
        <v>3323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354</v>
      </c>
    </row>
    <row r="125" spans="1:15" ht="13" hidden="1" customHeight="1">
      <c r="A125" s="9" t="s">
        <v>15</v>
      </c>
      <c r="B125" s="9" t="s">
        <v>16</v>
      </c>
      <c r="C125" s="9" t="s">
        <v>386</v>
      </c>
      <c r="D125" s="9" t="s">
        <v>437</v>
      </c>
      <c r="E125" s="9" t="s">
        <v>387</v>
      </c>
      <c r="F125" s="9" t="s">
        <v>438</v>
      </c>
      <c r="G125" s="9" t="s">
        <v>32</v>
      </c>
      <c r="H125" s="8">
        <v>1503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354</v>
      </c>
    </row>
    <row r="126" spans="1:15" ht="13" hidden="1" customHeight="1">
      <c r="A126" s="9" t="s">
        <v>15</v>
      </c>
      <c r="B126" s="9" t="s">
        <v>16</v>
      </c>
      <c r="C126" s="9" t="s">
        <v>388</v>
      </c>
      <c r="D126" s="9" t="s">
        <v>437</v>
      </c>
      <c r="E126" s="9" t="s">
        <v>389</v>
      </c>
      <c r="F126" s="9" t="s">
        <v>438</v>
      </c>
      <c r="G126" s="9" t="s">
        <v>32</v>
      </c>
      <c r="H126" s="8">
        <v>1503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354</v>
      </c>
    </row>
    <row r="127" spans="1:15" ht="13" hidden="1" customHeight="1">
      <c r="A127" s="9" t="s">
        <v>15</v>
      </c>
      <c r="B127" s="9" t="s">
        <v>80</v>
      </c>
      <c r="C127" s="9" t="s">
        <v>386</v>
      </c>
      <c r="D127" s="9" t="s">
        <v>437</v>
      </c>
      <c r="E127" s="9" t="s">
        <v>387</v>
      </c>
      <c r="F127" s="9" t="s">
        <v>438</v>
      </c>
      <c r="G127" s="9" t="s">
        <v>32</v>
      </c>
      <c r="H127" s="8">
        <v>1503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354</v>
      </c>
    </row>
    <row r="128" spans="1:15" ht="13" hidden="1" customHeight="1">
      <c r="A128" s="9" t="s">
        <v>15</v>
      </c>
      <c r="B128" s="9" t="s">
        <v>80</v>
      </c>
      <c r="C128" s="9" t="s">
        <v>388</v>
      </c>
      <c r="D128" s="9" t="s">
        <v>437</v>
      </c>
      <c r="E128" s="9" t="s">
        <v>389</v>
      </c>
      <c r="F128" s="9" t="s">
        <v>438</v>
      </c>
      <c r="G128" s="9" t="s">
        <v>32</v>
      </c>
      <c r="H128" s="8">
        <v>1503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354</v>
      </c>
    </row>
    <row r="129" spans="1:26" ht="13" hidden="1" customHeight="1">
      <c r="A129" s="9" t="s">
        <v>324</v>
      </c>
      <c r="B129" s="9" t="s">
        <v>64</v>
      </c>
      <c r="C129" s="9" t="s">
        <v>325</v>
      </c>
      <c r="D129" s="9" t="s">
        <v>445</v>
      </c>
      <c r="E129" s="9" t="s">
        <v>326</v>
      </c>
      <c r="F129" s="9" t="s">
        <v>440</v>
      </c>
      <c r="G129" s="9" t="s">
        <v>19</v>
      </c>
      <c r="H129" s="9">
        <v>412</v>
      </c>
      <c r="I129" s="9" t="s">
        <v>19</v>
      </c>
      <c r="K129" s="9">
        <v>6</v>
      </c>
      <c r="L129" s="9" t="s">
        <v>20</v>
      </c>
      <c r="M129" s="9">
        <v>0</v>
      </c>
      <c r="N129" s="9">
        <v>0</v>
      </c>
      <c r="O129" s="9" t="s">
        <v>502</v>
      </c>
    </row>
    <row r="130" spans="1:26" s="27" customFormat="1" ht="13" hidden="1" customHeight="1">
      <c r="A130" s="27" t="s">
        <v>324</v>
      </c>
      <c r="B130" s="27" t="s">
        <v>64</v>
      </c>
      <c r="C130" s="27" t="s">
        <v>142</v>
      </c>
      <c r="D130" s="27" t="s">
        <v>431</v>
      </c>
      <c r="E130" s="27" t="s">
        <v>143</v>
      </c>
      <c r="F130" s="27" t="s">
        <v>422</v>
      </c>
      <c r="G130" s="27" t="s">
        <v>19</v>
      </c>
      <c r="H130" s="27">
        <v>384</v>
      </c>
      <c r="I130" s="27" t="s">
        <v>19</v>
      </c>
      <c r="K130" s="27">
        <v>6</v>
      </c>
      <c r="L130" s="27" t="s">
        <v>20</v>
      </c>
      <c r="M130" s="27">
        <v>0</v>
      </c>
      <c r="N130" s="27">
        <v>0</v>
      </c>
      <c r="O130" s="27" t="s">
        <v>499</v>
      </c>
    </row>
    <row r="131" spans="1:26" ht="13" hidden="1" customHeight="1">
      <c r="A131" s="9" t="s">
        <v>324</v>
      </c>
      <c r="B131" s="9" t="s">
        <v>64</v>
      </c>
      <c r="C131" s="9" t="s">
        <v>327</v>
      </c>
      <c r="D131" s="9" t="s">
        <v>448</v>
      </c>
      <c r="E131" s="9" t="s">
        <v>328</v>
      </c>
      <c r="F131" s="9" t="s">
        <v>449</v>
      </c>
      <c r="G131" s="9" t="s">
        <v>19</v>
      </c>
      <c r="H131" s="8">
        <v>6277</v>
      </c>
      <c r="I131" s="9" t="s">
        <v>19</v>
      </c>
      <c r="K131" s="9">
        <v>6</v>
      </c>
      <c r="L131" s="9" t="s">
        <v>20</v>
      </c>
      <c r="M131" s="9">
        <v>0</v>
      </c>
      <c r="N131" s="9">
        <v>0</v>
      </c>
      <c r="O131" s="9" t="s">
        <v>450</v>
      </c>
    </row>
    <row r="132" spans="1:26" s="27" customFormat="1" ht="13" hidden="1" customHeight="1">
      <c r="A132" s="27" t="s">
        <v>324</v>
      </c>
      <c r="B132" s="27" t="s">
        <v>64</v>
      </c>
      <c r="C132" s="27" t="s">
        <v>329</v>
      </c>
      <c r="D132" s="27" t="s">
        <v>330</v>
      </c>
      <c r="E132" s="27" t="s">
        <v>331</v>
      </c>
      <c r="F132" s="27" t="s">
        <v>426</v>
      </c>
      <c r="G132" s="27" t="s">
        <v>19</v>
      </c>
      <c r="H132" s="31">
        <v>6989</v>
      </c>
      <c r="I132" s="27" t="s">
        <v>19</v>
      </c>
      <c r="K132" s="27">
        <v>6</v>
      </c>
      <c r="L132" s="27" t="s">
        <v>20</v>
      </c>
      <c r="M132" s="27">
        <v>0</v>
      </c>
      <c r="N132" s="27">
        <v>0</v>
      </c>
      <c r="O132" s="27" t="s">
        <v>427</v>
      </c>
    </row>
    <row r="133" spans="1:26" ht="13" hidden="1" customHeight="1">
      <c r="A133" s="9" t="s">
        <v>324</v>
      </c>
      <c r="B133" s="9" t="s">
        <v>64</v>
      </c>
      <c r="C133" s="9" t="s">
        <v>332</v>
      </c>
      <c r="D133" s="9" t="s">
        <v>439</v>
      </c>
      <c r="E133" s="9" t="s">
        <v>333</v>
      </c>
      <c r="F133" s="9" t="s">
        <v>440</v>
      </c>
      <c r="G133" s="9" t="s">
        <v>19</v>
      </c>
      <c r="H133" s="8">
        <v>6186</v>
      </c>
      <c r="I133" s="9" t="s">
        <v>19</v>
      </c>
      <c r="K133" s="9">
        <v>6</v>
      </c>
      <c r="L133" s="9" t="s">
        <v>20</v>
      </c>
      <c r="M133" s="9">
        <v>0</v>
      </c>
      <c r="N133" s="9">
        <v>0</v>
      </c>
      <c r="O133" s="9" t="s">
        <v>441</v>
      </c>
    </row>
    <row r="134" spans="1:26" ht="13" hidden="1" customHeight="1">
      <c r="A134" s="9" t="s">
        <v>324</v>
      </c>
      <c r="B134" s="9" t="s">
        <v>64</v>
      </c>
      <c r="C134" s="9" t="s">
        <v>334</v>
      </c>
      <c r="D134" s="9" t="s">
        <v>451</v>
      </c>
      <c r="E134" s="9" t="s">
        <v>335</v>
      </c>
      <c r="F134" s="9" t="s">
        <v>452</v>
      </c>
      <c r="G134" s="9" t="s">
        <v>19</v>
      </c>
      <c r="H134" s="8">
        <v>7827</v>
      </c>
      <c r="I134" s="9" t="s">
        <v>19</v>
      </c>
      <c r="K134" s="9">
        <v>6</v>
      </c>
      <c r="L134" s="9" t="s">
        <v>20</v>
      </c>
      <c r="M134" s="9">
        <v>0</v>
      </c>
      <c r="N134" s="9">
        <v>0</v>
      </c>
      <c r="O134" s="9" t="s">
        <v>453</v>
      </c>
      <c r="V134" s="2"/>
      <c r="W134" s="2"/>
      <c r="X134" s="2"/>
      <c r="Y134" s="2"/>
      <c r="Z134" s="2"/>
    </row>
    <row r="135" spans="1:26" s="25" customFormat="1" ht="13" hidden="1" customHeight="1">
      <c r="A135" s="9" t="s">
        <v>324</v>
      </c>
      <c r="B135" s="9" t="s">
        <v>64</v>
      </c>
      <c r="C135" s="9" t="s">
        <v>336</v>
      </c>
      <c r="D135" s="9" t="s">
        <v>468</v>
      </c>
      <c r="E135" s="9" t="s">
        <v>337</v>
      </c>
      <c r="F135" s="9" t="s">
        <v>466</v>
      </c>
      <c r="G135" s="9" t="s">
        <v>19</v>
      </c>
      <c r="H135" s="8">
        <v>8225</v>
      </c>
      <c r="I135" s="9" t="s">
        <v>19</v>
      </c>
      <c r="J135" s="9"/>
      <c r="K135" s="9">
        <v>6</v>
      </c>
      <c r="L135" s="9" t="s">
        <v>20</v>
      </c>
      <c r="M135" s="9">
        <v>0</v>
      </c>
      <c r="N135" s="9">
        <v>0</v>
      </c>
      <c r="O135" s="9" t="s">
        <v>467</v>
      </c>
      <c r="P135" s="9"/>
      <c r="Q135" s="9"/>
      <c r="R135" s="9"/>
      <c r="S135" s="9"/>
      <c r="T135" s="9"/>
      <c r="V135" s="9"/>
      <c r="W135" s="9"/>
      <c r="X135" s="9"/>
      <c r="Y135" s="9"/>
      <c r="Z135" s="9"/>
    </row>
    <row r="136" spans="1:26" s="27" customFormat="1" ht="13" hidden="1" customHeight="1">
      <c r="A136" s="27" t="s">
        <v>324</v>
      </c>
      <c r="B136" s="27" t="s">
        <v>64</v>
      </c>
      <c r="C136" s="27" t="s">
        <v>338</v>
      </c>
      <c r="D136" s="27" t="s">
        <v>487</v>
      </c>
      <c r="E136" s="27" t="s">
        <v>339</v>
      </c>
      <c r="F136" s="27" t="s">
        <v>488</v>
      </c>
      <c r="G136" s="27" t="s">
        <v>19</v>
      </c>
      <c r="H136" s="31">
        <v>5146</v>
      </c>
      <c r="I136" s="27" t="s">
        <v>19</v>
      </c>
      <c r="K136" s="27">
        <v>4.5</v>
      </c>
      <c r="L136" s="27" t="s">
        <v>20</v>
      </c>
      <c r="M136" s="27">
        <v>0</v>
      </c>
      <c r="N136" s="27">
        <v>0</v>
      </c>
      <c r="O136" s="27" t="s">
        <v>489</v>
      </c>
    </row>
    <row r="137" spans="1:26" ht="13" hidden="1" customHeight="1">
      <c r="A137" s="9" t="s">
        <v>324</v>
      </c>
      <c r="B137" s="9" t="s">
        <v>64</v>
      </c>
      <c r="C137" s="9" t="s">
        <v>340</v>
      </c>
      <c r="D137" s="9" t="s">
        <v>341</v>
      </c>
      <c r="E137" s="9" t="s">
        <v>190</v>
      </c>
      <c r="F137" s="9" t="s">
        <v>485</v>
      </c>
      <c r="G137" s="9" t="s">
        <v>19</v>
      </c>
      <c r="H137" s="9">
        <v>992</v>
      </c>
      <c r="I137" s="9" t="s">
        <v>19</v>
      </c>
      <c r="K137" s="9">
        <v>6</v>
      </c>
      <c r="L137" s="9" t="s">
        <v>20</v>
      </c>
      <c r="M137" s="9">
        <v>0</v>
      </c>
      <c r="N137" s="9">
        <v>0</v>
      </c>
      <c r="O137" s="9" t="s">
        <v>486</v>
      </c>
    </row>
    <row r="138" spans="1:26" ht="13" hidden="1" customHeight="1">
      <c r="A138" s="9" t="s">
        <v>324</v>
      </c>
      <c r="B138" s="9" t="s">
        <v>64</v>
      </c>
      <c r="C138" s="9" t="s">
        <v>121</v>
      </c>
      <c r="D138" s="9" t="s">
        <v>442</v>
      </c>
      <c r="E138" s="9" t="s">
        <v>122</v>
      </c>
      <c r="F138" s="9" t="s">
        <v>443</v>
      </c>
      <c r="G138" s="9" t="s">
        <v>19</v>
      </c>
      <c r="H138" s="8">
        <v>3952</v>
      </c>
      <c r="I138" s="9" t="s">
        <v>19</v>
      </c>
      <c r="K138" s="9">
        <v>2</v>
      </c>
      <c r="L138" s="9" t="s">
        <v>20</v>
      </c>
      <c r="M138" s="9">
        <v>0</v>
      </c>
      <c r="N138" s="9">
        <v>0</v>
      </c>
      <c r="O138" s="9" t="s">
        <v>444</v>
      </c>
    </row>
    <row r="139" spans="1:26" ht="13" hidden="1" customHeight="1">
      <c r="A139" s="9" t="s">
        <v>324</v>
      </c>
      <c r="B139" s="9" t="s">
        <v>64</v>
      </c>
      <c r="C139" s="9" t="s">
        <v>342</v>
      </c>
      <c r="D139" s="9" t="s">
        <v>40</v>
      </c>
      <c r="E139" s="9" t="s">
        <v>173</v>
      </c>
      <c r="F139" s="9" t="s">
        <v>460</v>
      </c>
      <c r="G139" s="9" t="s">
        <v>32</v>
      </c>
      <c r="H139" s="9">
        <v>153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461</v>
      </c>
    </row>
    <row r="140" spans="1:26" ht="13" hidden="1" customHeight="1">
      <c r="A140" s="9" t="s">
        <v>324</v>
      </c>
      <c r="B140" s="9" t="s">
        <v>64</v>
      </c>
      <c r="C140" s="9" t="s">
        <v>343</v>
      </c>
      <c r="D140" s="9" t="s">
        <v>459</v>
      </c>
      <c r="E140" s="9" t="s">
        <v>124</v>
      </c>
      <c r="F140" s="9" t="s">
        <v>462</v>
      </c>
      <c r="G140" s="9" t="s">
        <v>32</v>
      </c>
      <c r="H140" s="9">
        <v>196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463</v>
      </c>
    </row>
    <row r="141" spans="1:26" ht="13" hidden="1" customHeight="1">
      <c r="A141" s="9" t="s">
        <v>324</v>
      </c>
      <c r="B141" s="9" t="s">
        <v>64</v>
      </c>
      <c r="C141" s="9" t="s">
        <v>344</v>
      </c>
      <c r="D141" s="9" t="s">
        <v>459</v>
      </c>
      <c r="E141" s="9" t="s">
        <v>126</v>
      </c>
      <c r="F141" s="9" t="s">
        <v>462</v>
      </c>
      <c r="G141" s="9" t="s">
        <v>32</v>
      </c>
      <c r="H141" s="9">
        <v>313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463</v>
      </c>
    </row>
    <row r="142" spans="1:26" ht="13" hidden="1" customHeight="1">
      <c r="A142" s="9" t="s">
        <v>324</v>
      </c>
      <c r="B142" s="9" t="s">
        <v>64</v>
      </c>
      <c r="C142" s="9" t="s">
        <v>127</v>
      </c>
      <c r="D142" s="9" t="s">
        <v>35</v>
      </c>
      <c r="E142" s="9" t="s">
        <v>345</v>
      </c>
      <c r="F142" s="9" t="s">
        <v>457</v>
      </c>
      <c r="G142" s="9" t="s">
        <v>32</v>
      </c>
      <c r="H142" s="9">
        <v>116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458</v>
      </c>
    </row>
    <row r="143" spans="1:26" ht="13" hidden="1" customHeight="1">
      <c r="A143" s="9" t="s">
        <v>324</v>
      </c>
      <c r="B143" s="9" t="s">
        <v>64</v>
      </c>
      <c r="C143" s="9" t="s">
        <v>130</v>
      </c>
      <c r="D143" s="9" t="s">
        <v>35</v>
      </c>
      <c r="E143" s="9" t="s">
        <v>346</v>
      </c>
      <c r="F143" s="9" t="s">
        <v>457</v>
      </c>
      <c r="G143" s="9" t="s">
        <v>32</v>
      </c>
      <c r="H143" s="9">
        <v>102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458</v>
      </c>
    </row>
    <row r="144" spans="1:26" ht="13" hidden="1" customHeight="1">
      <c r="A144" s="9" t="s">
        <v>324</v>
      </c>
      <c r="B144" s="9" t="s">
        <v>64</v>
      </c>
      <c r="C144" s="9" t="s">
        <v>347</v>
      </c>
      <c r="D144" s="9" t="s">
        <v>432</v>
      </c>
      <c r="E144" s="9" t="s">
        <v>129</v>
      </c>
      <c r="F144" s="9" t="s">
        <v>433</v>
      </c>
      <c r="G144" s="9" t="s">
        <v>32</v>
      </c>
      <c r="H144" s="9">
        <v>184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434</v>
      </c>
    </row>
    <row r="145" spans="1:15" ht="13" hidden="1" customHeight="1">
      <c r="A145" s="9" t="s">
        <v>324</v>
      </c>
      <c r="B145" s="9" t="s">
        <v>64</v>
      </c>
      <c r="C145" s="9" t="s">
        <v>348</v>
      </c>
      <c r="D145" s="9" t="s">
        <v>35</v>
      </c>
      <c r="E145" s="9" t="s">
        <v>131</v>
      </c>
      <c r="F145" s="9" t="s">
        <v>457</v>
      </c>
      <c r="G145" s="9" t="s">
        <v>32</v>
      </c>
      <c r="H145" s="9">
        <v>581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458</v>
      </c>
    </row>
    <row r="146" spans="1:15" ht="13" hidden="1" customHeight="1">
      <c r="A146" s="9" t="s">
        <v>324</v>
      </c>
      <c r="B146" s="9" t="s">
        <v>64</v>
      </c>
      <c r="C146" s="9" t="s">
        <v>379</v>
      </c>
      <c r="D146" s="9" t="s">
        <v>475</v>
      </c>
      <c r="E146" s="9" t="s">
        <v>349</v>
      </c>
      <c r="F146" s="9" t="s">
        <v>476</v>
      </c>
      <c r="G146" s="9" t="s">
        <v>19</v>
      </c>
      <c r="H146" s="9">
        <v>367</v>
      </c>
      <c r="I146" s="9" t="s">
        <v>19</v>
      </c>
      <c r="K146" s="9">
        <v>13</v>
      </c>
      <c r="L146" s="9" t="s">
        <v>54</v>
      </c>
      <c r="M146" s="9">
        <v>0</v>
      </c>
      <c r="N146" s="9">
        <v>0</v>
      </c>
      <c r="O146" s="9" t="s">
        <v>477</v>
      </c>
    </row>
    <row r="147" spans="1:15" ht="13" hidden="1" customHeight="1">
      <c r="A147" s="9" t="s">
        <v>324</v>
      </c>
      <c r="B147" s="9" t="s">
        <v>64</v>
      </c>
      <c r="C147" s="9" t="s">
        <v>350</v>
      </c>
      <c r="D147" s="9" t="s">
        <v>480</v>
      </c>
      <c r="E147" s="9" t="s">
        <v>147</v>
      </c>
      <c r="F147" s="9" t="s">
        <v>471</v>
      </c>
      <c r="G147" s="9" t="s">
        <v>19</v>
      </c>
      <c r="H147" s="9">
        <v>217</v>
      </c>
      <c r="I147" s="9" t="s">
        <v>19</v>
      </c>
      <c r="K147" s="9">
        <v>50</v>
      </c>
      <c r="L147" s="9" t="s">
        <v>54</v>
      </c>
      <c r="M147" s="9">
        <v>0</v>
      </c>
      <c r="N147" s="9">
        <v>0</v>
      </c>
      <c r="O147" s="9" t="s">
        <v>472</v>
      </c>
    </row>
    <row r="148" spans="1:15" ht="13" hidden="1" customHeight="1">
      <c r="A148" s="9" t="s">
        <v>324</v>
      </c>
      <c r="B148" s="9" t="s">
        <v>64</v>
      </c>
      <c r="C148" s="9" t="s">
        <v>351</v>
      </c>
      <c r="D148" s="9" t="s">
        <v>59</v>
      </c>
      <c r="E148" s="9" t="s">
        <v>134</v>
      </c>
      <c r="F148" s="9" t="s">
        <v>478</v>
      </c>
      <c r="G148" s="9" t="s">
        <v>19</v>
      </c>
      <c r="H148" s="9">
        <v>200</v>
      </c>
      <c r="I148" s="9" t="s">
        <v>19</v>
      </c>
      <c r="K148" s="9">
        <v>28</v>
      </c>
      <c r="L148" s="9" t="s">
        <v>54</v>
      </c>
      <c r="M148" s="11">
        <v>0</v>
      </c>
      <c r="N148" s="9">
        <v>0</v>
      </c>
      <c r="O148" s="9" t="s">
        <v>479</v>
      </c>
    </row>
    <row r="149" spans="1:15" ht="13" hidden="1" customHeight="1">
      <c r="A149" s="9" t="s">
        <v>324</v>
      </c>
      <c r="B149" s="9" t="s">
        <v>64</v>
      </c>
      <c r="C149" s="9" t="s">
        <v>55</v>
      </c>
      <c r="D149" s="9" t="s">
        <v>197</v>
      </c>
      <c r="E149" s="9" t="s">
        <v>57</v>
      </c>
      <c r="F149" s="9" t="s">
        <v>473</v>
      </c>
      <c r="G149" s="9" t="s">
        <v>19</v>
      </c>
      <c r="H149" s="9">
        <v>150</v>
      </c>
      <c r="I149" s="9" t="s">
        <v>19</v>
      </c>
      <c r="K149" s="9">
        <v>30</v>
      </c>
      <c r="L149" s="9" t="s">
        <v>54</v>
      </c>
      <c r="M149" s="9">
        <v>0</v>
      </c>
      <c r="N149" s="9">
        <v>0</v>
      </c>
      <c r="O149" s="9" t="s">
        <v>474</v>
      </c>
    </row>
    <row r="150" spans="1:15" ht="13" hidden="1" customHeight="1">
      <c r="A150" s="9" t="s">
        <v>324</v>
      </c>
      <c r="B150" s="9" t="s">
        <v>64</v>
      </c>
      <c r="C150" s="9" t="s">
        <v>352</v>
      </c>
      <c r="D150" s="9" t="s">
        <v>199</v>
      </c>
      <c r="E150" s="9" t="s">
        <v>62</v>
      </c>
      <c r="F150" s="9" t="s">
        <v>478</v>
      </c>
      <c r="G150" s="9" t="s">
        <v>19</v>
      </c>
      <c r="H150" s="9">
        <v>184</v>
      </c>
      <c r="I150" s="9" t="s">
        <v>19</v>
      </c>
      <c r="K150" s="9">
        <v>25</v>
      </c>
      <c r="L150" s="9" t="s">
        <v>54</v>
      </c>
      <c r="M150" s="9">
        <v>0</v>
      </c>
      <c r="N150" s="9">
        <v>0</v>
      </c>
      <c r="O150" s="9" t="s">
        <v>479</v>
      </c>
    </row>
    <row r="151" spans="1:15" ht="13" hidden="1" customHeight="1">
      <c r="A151" s="9" t="s">
        <v>324</v>
      </c>
      <c r="B151" s="9" t="s">
        <v>64</v>
      </c>
      <c r="C151" s="9" t="s">
        <v>353</v>
      </c>
      <c r="D151" s="9" t="s">
        <v>437</v>
      </c>
      <c r="E151" s="9" t="s">
        <v>201</v>
      </c>
      <c r="F151" s="9" t="s">
        <v>438</v>
      </c>
      <c r="G151" s="9" t="s">
        <v>32</v>
      </c>
      <c r="H151" s="8">
        <v>8959</v>
      </c>
      <c r="I151" s="9" t="s">
        <v>32</v>
      </c>
      <c r="K151" s="9">
        <v>1</v>
      </c>
      <c r="L151" s="9" t="s">
        <v>32</v>
      </c>
      <c r="M151" s="9">
        <v>0</v>
      </c>
      <c r="N151" s="9">
        <v>0</v>
      </c>
      <c r="O151" s="9" t="s">
        <v>354</v>
      </c>
    </row>
    <row r="152" spans="1:15" s="27" customFormat="1" ht="13" hidden="1" customHeight="1">
      <c r="A152" s="27" t="s">
        <v>324</v>
      </c>
      <c r="B152" s="27" t="s">
        <v>64</v>
      </c>
      <c r="C152" s="27" t="s">
        <v>357</v>
      </c>
      <c r="D152" s="27" t="s">
        <v>425</v>
      </c>
      <c r="E152" s="27" t="s">
        <v>72</v>
      </c>
      <c r="F152" s="27" t="s">
        <v>423</v>
      </c>
      <c r="G152" s="27" t="s">
        <v>32</v>
      </c>
      <c r="H152" s="31">
        <v>3429</v>
      </c>
      <c r="I152" s="27" t="s">
        <v>32</v>
      </c>
      <c r="K152" s="27">
        <v>1</v>
      </c>
      <c r="L152" s="27" t="s">
        <v>32</v>
      </c>
      <c r="M152" s="27">
        <v>0</v>
      </c>
      <c r="N152" s="27">
        <v>0</v>
      </c>
      <c r="O152" s="27" t="s">
        <v>424</v>
      </c>
    </row>
    <row r="153" spans="1:15" ht="13" hidden="1" customHeight="1">
      <c r="A153" s="9" t="s">
        <v>324</v>
      </c>
      <c r="B153" s="9" t="s">
        <v>64</v>
      </c>
      <c r="C153" s="9" t="s">
        <v>358</v>
      </c>
      <c r="D153" s="9" t="s">
        <v>456</v>
      </c>
      <c r="E153" s="9" t="s">
        <v>178</v>
      </c>
      <c r="F153" s="9" t="s">
        <v>423</v>
      </c>
      <c r="G153" s="9" t="s">
        <v>32</v>
      </c>
      <c r="H153" s="8">
        <v>3531</v>
      </c>
      <c r="I153" s="9" t="s">
        <v>32</v>
      </c>
      <c r="K153" s="9">
        <v>1</v>
      </c>
      <c r="L153" s="9" t="s">
        <v>32</v>
      </c>
      <c r="M153" s="9">
        <v>0</v>
      </c>
      <c r="N153" s="9">
        <v>0</v>
      </c>
      <c r="O153" s="9" t="s">
        <v>424</v>
      </c>
    </row>
    <row r="154" spans="1:15" ht="13" hidden="1" customHeight="1">
      <c r="A154" s="9" t="s">
        <v>324</v>
      </c>
      <c r="B154" s="9" t="s">
        <v>64</v>
      </c>
      <c r="C154" s="9" t="s">
        <v>359</v>
      </c>
      <c r="D154" s="9" t="s">
        <v>436</v>
      </c>
      <c r="E154" s="9" t="s">
        <v>78</v>
      </c>
      <c r="F154" s="9" t="s">
        <v>423</v>
      </c>
      <c r="G154" s="9" t="s">
        <v>79</v>
      </c>
      <c r="H154" s="8">
        <v>3120</v>
      </c>
      <c r="I154" s="9" t="s">
        <v>79</v>
      </c>
      <c r="K154" s="9">
        <v>1</v>
      </c>
      <c r="L154" s="9" t="s">
        <v>79</v>
      </c>
      <c r="M154" s="9">
        <v>0</v>
      </c>
      <c r="N154" s="9">
        <v>0</v>
      </c>
      <c r="O154" s="9" t="s">
        <v>424</v>
      </c>
    </row>
    <row r="155" spans="1:15" s="27" customFormat="1" ht="13" hidden="1" customHeight="1">
      <c r="A155" s="27" t="s">
        <v>324</v>
      </c>
      <c r="B155" s="27" t="s">
        <v>64</v>
      </c>
      <c r="C155" s="27" t="s">
        <v>360</v>
      </c>
      <c r="D155" s="27" t="s">
        <v>159</v>
      </c>
      <c r="E155" s="27" t="s">
        <v>160</v>
      </c>
      <c r="F155" s="27" t="s">
        <v>423</v>
      </c>
      <c r="G155" s="27" t="s">
        <v>79</v>
      </c>
      <c r="H155" s="31">
        <v>1336</v>
      </c>
      <c r="I155" s="27" t="s">
        <v>79</v>
      </c>
      <c r="K155" s="27">
        <v>1</v>
      </c>
      <c r="L155" s="27" t="s">
        <v>79</v>
      </c>
      <c r="M155" s="27">
        <v>0</v>
      </c>
      <c r="N155" s="27">
        <v>0</v>
      </c>
      <c r="O155" s="27" t="s">
        <v>498</v>
      </c>
    </row>
    <row r="156" spans="1:15" ht="13" hidden="1" customHeight="1">
      <c r="A156" s="9" t="s">
        <v>324</v>
      </c>
      <c r="B156" s="9" t="s">
        <v>64</v>
      </c>
      <c r="C156" s="9" t="s">
        <v>361</v>
      </c>
      <c r="D156" s="9" t="s">
        <v>481</v>
      </c>
      <c r="E156" s="9" t="s">
        <v>208</v>
      </c>
      <c r="F156" s="9" t="s">
        <v>482</v>
      </c>
      <c r="G156" s="9" t="s">
        <v>32</v>
      </c>
      <c r="H156" s="8">
        <v>2505</v>
      </c>
      <c r="I156" s="9" t="s">
        <v>32</v>
      </c>
      <c r="K156" s="9">
        <v>1</v>
      </c>
      <c r="L156" s="9" t="s">
        <v>32</v>
      </c>
      <c r="M156" s="9">
        <v>0</v>
      </c>
      <c r="N156" s="9">
        <v>0</v>
      </c>
      <c r="O156" s="9" t="s">
        <v>483</v>
      </c>
    </row>
    <row r="157" spans="1:15" s="27" customFormat="1" ht="13" hidden="1" customHeight="1">
      <c r="A157" s="27" t="s">
        <v>324</v>
      </c>
      <c r="B157" s="27" t="s">
        <v>64</v>
      </c>
      <c r="C157" s="27" t="s">
        <v>362</v>
      </c>
      <c r="D157" s="27" t="s">
        <v>428</v>
      </c>
      <c r="E157" s="27" t="s">
        <v>363</v>
      </c>
      <c r="F157" s="27" t="s">
        <v>429</v>
      </c>
      <c r="G157" s="27" t="s">
        <v>79</v>
      </c>
      <c r="H157" s="31">
        <v>2448</v>
      </c>
      <c r="I157" s="27" t="s">
        <v>79</v>
      </c>
      <c r="K157" s="27">
        <v>1</v>
      </c>
      <c r="L157" s="27" t="s">
        <v>79</v>
      </c>
      <c r="M157" s="27">
        <v>0</v>
      </c>
      <c r="N157" s="27">
        <v>0</v>
      </c>
      <c r="O157" s="27" t="s">
        <v>430</v>
      </c>
    </row>
    <row r="158" spans="1:15" s="27" customFormat="1" ht="13" hidden="1" customHeight="1">
      <c r="A158" s="27" t="s">
        <v>324</v>
      </c>
      <c r="B158" s="27" t="s">
        <v>64</v>
      </c>
      <c r="C158" s="27" t="s">
        <v>364</v>
      </c>
      <c r="D158" s="27" t="s">
        <v>421</v>
      </c>
      <c r="E158" s="27" t="s">
        <v>365</v>
      </c>
      <c r="F158" s="27" t="s">
        <v>422</v>
      </c>
      <c r="G158" s="27" t="s">
        <v>79</v>
      </c>
      <c r="H158" s="27">
        <v>230</v>
      </c>
      <c r="I158" s="27" t="s">
        <v>79</v>
      </c>
      <c r="K158" s="27">
        <v>1</v>
      </c>
      <c r="L158" s="27" t="s">
        <v>79</v>
      </c>
      <c r="M158" s="27">
        <v>0</v>
      </c>
      <c r="N158" s="27">
        <v>0</v>
      </c>
      <c r="O158" s="27" t="s">
        <v>497</v>
      </c>
    </row>
    <row r="159" spans="1:15" s="27" customFormat="1" ht="13" hidden="1" customHeight="1">
      <c r="A159" s="27" t="s">
        <v>324</v>
      </c>
      <c r="B159" s="27" t="s">
        <v>16</v>
      </c>
      <c r="C159" s="27" t="s">
        <v>366</v>
      </c>
      <c r="D159" s="27" t="s">
        <v>439</v>
      </c>
      <c r="E159" s="27" t="s">
        <v>367</v>
      </c>
      <c r="F159" s="27" t="s">
        <v>440</v>
      </c>
      <c r="G159" s="27" t="s">
        <v>19</v>
      </c>
      <c r="H159" s="31">
        <v>2039</v>
      </c>
      <c r="I159" s="27" t="s">
        <v>19</v>
      </c>
      <c r="K159" s="27">
        <v>6</v>
      </c>
      <c r="L159" s="27" t="s">
        <v>20</v>
      </c>
      <c r="M159" s="27">
        <v>0</v>
      </c>
      <c r="N159" s="27">
        <v>0</v>
      </c>
      <c r="O159" s="27" t="s">
        <v>501</v>
      </c>
    </row>
    <row r="160" spans="1:15" s="27" customFormat="1" ht="13" hidden="1" customHeight="1">
      <c r="A160" s="27" t="s">
        <v>324</v>
      </c>
      <c r="B160" s="27" t="s">
        <v>16</v>
      </c>
      <c r="C160" s="27" t="s">
        <v>97</v>
      </c>
      <c r="D160" s="27" t="s">
        <v>442</v>
      </c>
      <c r="E160" s="27" t="s">
        <v>99</v>
      </c>
      <c r="F160" s="27" t="s">
        <v>443</v>
      </c>
      <c r="G160" s="27" t="s">
        <v>19</v>
      </c>
      <c r="H160" s="31">
        <v>2335</v>
      </c>
      <c r="I160" s="27" t="s">
        <v>19</v>
      </c>
      <c r="K160" s="27">
        <v>1</v>
      </c>
      <c r="L160" s="27" t="s">
        <v>20</v>
      </c>
      <c r="M160" s="34">
        <v>0</v>
      </c>
      <c r="N160" s="27">
        <v>0</v>
      </c>
      <c r="O160" s="27" t="s">
        <v>512</v>
      </c>
    </row>
    <row r="161" spans="1:15" s="27" customFormat="1" ht="13" hidden="1" customHeight="1">
      <c r="A161" s="27" t="s">
        <v>324</v>
      </c>
      <c r="B161" s="32" t="s">
        <v>16</v>
      </c>
      <c r="C161" s="27" t="s">
        <v>368</v>
      </c>
      <c r="D161" s="27" t="s">
        <v>451</v>
      </c>
      <c r="E161" s="27" t="s">
        <v>102</v>
      </c>
      <c r="F161" s="27" t="s">
        <v>452</v>
      </c>
      <c r="G161" s="27" t="s">
        <v>19</v>
      </c>
      <c r="H161" s="31">
        <v>3086</v>
      </c>
      <c r="I161" s="27" t="s">
        <v>19</v>
      </c>
      <c r="K161" s="27">
        <v>6</v>
      </c>
      <c r="L161" s="27" t="s">
        <v>20</v>
      </c>
      <c r="M161" s="27">
        <v>0</v>
      </c>
      <c r="N161" s="27">
        <v>0</v>
      </c>
      <c r="O161" s="27" t="s">
        <v>453</v>
      </c>
    </row>
    <row r="162" spans="1:15" s="27" customFormat="1" ht="13" hidden="1" customHeight="1">
      <c r="A162" s="27" t="s">
        <v>324</v>
      </c>
      <c r="B162" s="32" t="s">
        <v>16</v>
      </c>
      <c r="C162" s="27" t="s">
        <v>369</v>
      </c>
      <c r="D162" s="27" t="s">
        <v>468</v>
      </c>
      <c r="E162" s="27" t="s">
        <v>105</v>
      </c>
      <c r="F162" s="27" t="s">
        <v>466</v>
      </c>
      <c r="G162" s="27" t="s">
        <v>19</v>
      </c>
      <c r="H162" s="31">
        <v>4078</v>
      </c>
      <c r="I162" s="27" t="s">
        <v>19</v>
      </c>
      <c r="K162" s="27">
        <v>6</v>
      </c>
      <c r="L162" s="27" t="s">
        <v>20</v>
      </c>
      <c r="M162" s="27">
        <v>0</v>
      </c>
      <c r="N162" s="27">
        <v>0</v>
      </c>
      <c r="O162" s="27" t="s">
        <v>467</v>
      </c>
    </row>
    <row r="163" spans="1:15" s="27" customFormat="1" ht="13" hidden="1" customHeight="1">
      <c r="A163" s="27" t="s">
        <v>324</v>
      </c>
      <c r="B163" s="32" t="s">
        <v>16</v>
      </c>
      <c r="C163" s="27" t="s">
        <v>21</v>
      </c>
      <c r="D163" s="27" t="s">
        <v>448</v>
      </c>
      <c r="E163" s="27" t="s">
        <v>23</v>
      </c>
      <c r="F163" s="27" t="s">
        <v>449</v>
      </c>
      <c r="G163" s="27" t="s">
        <v>19</v>
      </c>
      <c r="H163" s="31">
        <v>3435</v>
      </c>
      <c r="I163" s="27" t="s">
        <v>19</v>
      </c>
      <c r="K163" s="27">
        <v>6</v>
      </c>
      <c r="L163" s="27" t="s">
        <v>20</v>
      </c>
      <c r="M163" s="27">
        <v>0</v>
      </c>
      <c r="N163" s="27">
        <v>0</v>
      </c>
      <c r="O163" s="27" t="s">
        <v>450</v>
      </c>
    </row>
    <row r="164" spans="1:15" s="27" customFormat="1" ht="13" hidden="1" customHeight="1">
      <c r="A164" s="27" t="s">
        <v>324</v>
      </c>
      <c r="B164" s="32" t="s">
        <v>16</v>
      </c>
      <c r="C164" s="27" t="s">
        <v>24</v>
      </c>
      <c r="D164" s="27" t="s">
        <v>330</v>
      </c>
      <c r="E164" s="27" t="s">
        <v>25</v>
      </c>
      <c r="F164" s="27" t="s">
        <v>426</v>
      </c>
      <c r="G164" s="27" t="s">
        <v>19</v>
      </c>
      <c r="H164" s="31">
        <v>4029</v>
      </c>
      <c r="I164" s="27" t="s">
        <v>19</v>
      </c>
      <c r="K164" s="27">
        <v>6</v>
      </c>
      <c r="L164" s="27" t="s">
        <v>20</v>
      </c>
      <c r="M164" s="27">
        <v>0</v>
      </c>
      <c r="N164" s="27">
        <v>0</v>
      </c>
      <c r="O164" s="27" t="s">
        <v>427</v>
      </c>
    </row>
    <row r="165" spans="1:15" s="27" customFormat="1" ht="13" hidden="1" customHeight="1">
      <c r="A165" s="27" t="s">
        <v>324</v>
      </c>
      <c r="B165" s="32" t="s">
        <v>16</v>
      </c>
      <c r="C165" s="27" t="s">
        <v>28</v>
      </c>
      <c r="D165" s="27" t="s">
        <v>341</v>
      </c>
      <c r="E165" s="27" t="s">
        <v>29</v>
      </c>
      <c r="F165" s="27" t="s">
        <v>485</v>
      </c>
      <c r="G165" s="27" t="s">
        <v>19</v>
      </c>
      <c r="H165" s="27">
        <v>810</v>
      </c>
      <c r="I165" s="27" t="s">
        <v>19</v>
      </c>
      <c r="K165" s="27">
        <v>6</v>
      </c>
      <c r="L165" s="27" t="s">
        <v>20</v>
      </c>
      <c r="M165" s="27">
        <v>0</v>
      </c>
      <c r="N165" s="27">
        <v>0</v>
      </c>
      <c r="O165" s="27" t="s">
        <v>513</v>
      </c>
    </row>
    <row r="166" spans="1:15" s="27" customFormat="1" ht="13" hidden="1" customHeight="1">
      <c r="A166" s="27" t="s">
        <v>324</v>
      </c>
      <c r="B166" s="32" t="s">
        <v>16</v>
      </c>
      <c r="C166" s="27" t="s">
        <v>142</v>
      </c>
      <c r="D166" s="27" t="s">
        <v>431</v>
      </c>
      <c r="E166" s="27" t="s">
        <v>143</v>
      </c>
      <c r="F166" s="27" t="s">
        <v>422</v>
      </c>
      <c r="G166" s="27" t="s">
        <v>19</v>
      </c>
      <c r="H166" s="27">
        <v>384</v>
      </c>
      <c r="I166" s="27" t="s">
        <v>19</v>
      </c>
      <c r="K166" s="27">
        <v>6</v>
      </c>
      <c r="L166" s="27" t="s">
        <v>20</v>
      </c>
      <c r="M166" s="27">
        <v>0</v>
      </c>
      <c r="N166" s="27">
        <v>0</v>
      </c>
      <c r="O166" s="27" t="s">
        <v>499</v>
      </c>
    </row>
    <row r="167" spans="1:15" s="27" customFormat="1" ht="13" customHeight="1">
      <c r="A167" s="27" t="s">
        <v>324</v>
      </c>
      <c r="B167" s="32" t="s">
        <v>16</v>
      </c>
      <c r="C167" s="27" t="s">
        <v>370</v>
      </c>
      <c r="D167" s="27" t="s">
        <v>35</v>
      </c>
      <c r="E167" s="27" t="s">
        <v>36</v>
      </c>
      <c r="F167" s="27" t="s">
        <v>457</v>
      </c>
      <c r="G167" s="27" t="s">
        <v>32</v>
      </c>
      <c r="H167" s="27">
        <v>161</v>
      </c>
      <c r="I167" s="27" t="s">
        <v>32</v>
      </c>
      <c r="K167" s="27">
        <v>1</v>
      </c>
      <c r="L167" s="27" t="s">
        <v>32</v>
      </c>
      <c r="M167" s="27">
        <v>0</v>
      </c>
      <c r="N167" s="27">
        <v>0</v>
      </c>
      <c r="O167" s="27" t="s">
        <v>503</v>
      </c>
    </row>
    <row r="168" spans="1:15" s="27" customFormat="1" ht="13" customHeight="1">
      <c r="A168" s="27" t="s">
        <v>324</v>
      </c>
      <c r="B168" s="32" t="s">
        <v>16</v>
      </c>
      <c r="C168" s="27" t="s">
        <v>225</v>
      </c>
      <c r="D168" s="27" t="s">
        <v>40</v>
      </c>
      <c r="E168" s="27" t="s">
        <v>226</v>
      </c>
      <c r="F168" s="27" t="s">
        <v>462</v>
      </c>
      <c r="G168" s="27" t="s">
        <v>32</v>
      </c>
      <c r="H168" s="27">
        <v>742</v>
      </c>
      <c r="I168" s="27" t="s">
        <v>32</v>
      </c>
      <c r="K168" s="27">
        <v>1</v>
      </c>
      <c r="L168" s="27" t="s">
        <v>32</v>
      </c>
      <c r="M168" s="27">
        <v>0</v>
      </c>
      <c r="N168" s="27">
        <v>0</v>
      </c>
      <c r="O168" s="9" t="s">
        <v>514</v>
      </c>
    </row>
    <row r="169" spans="1:15" s="27" customFormat="1" ht="13" hidden="1" customHeight="1">
      <c r="A169" s="27" t="s">
        <v>324</v>
      </c>
      <c r="B169" s="32" t="s">
        <v>16</v>
      </c>
      <c r="C169" s="27" t="s">
        <v>227</v>
      </c>
      <c r="D169" s="27" t="s">
        <v>40</v>
      </c>
      <c r="E169" s="27" t="s">
        <v>228</v>
      </c>
      <c r="F169" s="27" t="s">
        <v>460</v>
      </c>
      <c r="G169" s="27" t="s">
        <v>32</v>
      </c>
      <c r="H169" s="27">
        <v>945</v>
      </c>
      <c r="I169" s="27" t="s">
        <v>32</v>
      </c>
      <c r="K169" s="27">
        <v>1</v>
      </c>
      <c r="L169" s="27" t="s">
        <v>32</v>
      </c>
      <c r="M169" s="27">
        <v>0</v>
      </c>
      <c r="N169" s="27">
        <v>0</v>
      </c>
      <c r="O169" s="27" t="s">
        <v>506</v>
      </c>
    </row>
    <row r="170" spans="1:15" s="27" customFormat="1" ht="13" hidden="1" customHeight="1">
      <c r="A170" s="27" t="s">
        <v>324</v>
      </c>
      <c r="B170" s="32" t="s">
        <v>16</v>
      </c>
      <c r="C170" s="27" t="s">
        <v>229</v>
      </c>
      <c r="D170" s="27" t="s">
        <v>459</v>
      </c>
      <c r="E170" s="27" t="s">
        <v>41</v>
      </c>
      <c r="F170" s="27" t="s">
        <v>462</v>
      </c>
      <c r="G170" s="27" t="s">
        <v>32</v>
      </c>
      <c r="H170" s="27">
        <v>959</v>
      </c>
      <c r="I170" s="27" t="s">
        <v>32</v>
      </c>
      <c r="K170" s="27">
        <v>1</v>
      </c>
      <c r="L170" s="27" t="s">
        <v>32</v>
      </c>
      <c r="M170" s="27">
        <v>0</v>
      </c>
      <c r="N170" s="27">
        <v>0</v>
      </c>
      <c r="O170" s="27" t="s">
        <v>504</v>
      </c>
    </row>
    <row r="171" spans="1:15" s="27" customFormat="1" ht="13" hidden="1" customHeight="1">
      <c r="A171" s="27" t="s">
        <v>324</v>
      </c>
      <c r="B171" s="32" t="s">
        <v>16</v>
      </c>
      <c r="C171" s="27" t="s">
        <v>371</v>
      </c>
      <c r="D171" s="27" t="s">
        <v>459</v>
      </c>
      <c r="E171" s="27" t="s">
        <v>50</v>
      </c>
      <c r="F171" s="27" t="s">
        <v>462</v>
      </c>
      <c r="G171" s="27" t="s">
        <v>32</v>
      </c>
      <c r="H171" s="27">
        <v>184</v>
      </c>
      <c r="I171" s="27" t="s">
        <v>32</v>
      </c>
      <c r="K171" s="27">
        <v>1</v>
      </c>
      <c r="L171" s="27" t="s">
        <v>32</v>
      </c>
      <c r="M171" s="27">
        <v>0</v>
      </c>
      <c r="N171" s="27">
        <v>0</v>
      </c>
      <c r="O171" s="27" t="s">
        <v>505</v>
      </c>
    </row>
    <row r="172" spans="1:15" s="27" customFormat="1" ht="13" hidden="1" customHeight="1">
      <c r="A172" s="27" t="s">
        <v>324</v>
      </c>
      <c r="B172" s="32" t="s">
        <v>16</v>
      </c>
      <c r="C172" s="27" t="s">
        <v>350</v>
      </c>
      <c r="D172" s="27" t="s">
        <v>480</v>
      </c>
      <c r="E172" s="27" t="s">
        <v>147</v>
      </c>
      <c r="F172" s="27" t="s">
        <v>471</v>
      </c>
      <c r="G172" s="27" t="s">
        <v>19</v>
      </c>
      <c r="H172" s="27">
        <v>217</v>
      </c>
      <c r="I172" s="27" t="s">
        <v>19</v>
      </c>
      <c r="K172" s="27">
        <v>50</v>
      </c>
      <c r="L172" s="27" t="s">
        <v>54</v>
      </c>
      <c r="M172" s="27">
        <v>0</v>
      </c>
      <c r="N172" s="27">
        <v>0</v>
      </c>
      <c r="O172" s="27" t="s">
        <v>510</v>
      </c>
    </row>
    <row r="173" spans="1:15" s="27" customFormat="1" ht="13" hidden="1" customHeight="1">
      <c r="A173" s="27" t="s">
        <v>324</v>
      </c>
      <c r="B173" s="32" t="s">
        <v>16</v>
      </c>
      <c r="C173" s="27" t="s">
        <v>372</v>
      </c>
      <c r="D173" s="27" t="s">
        <v>59</v>
      </c>
      <c r="E173" s="27" t="s">
        <v>60</v>
      </c>
      <c r="F173" s="27" t="s">
        <v>478</v>
      </c>
      <c r="G173" s="27" t="s">
        <v>19</v>
      </c>
      <c r="H173" s="27">
        <v>184</v>
      </c>
      <c r="I173" s="27" t="s">
        <v>19</v>
      </c>
      <c r="K173" s="27">
        <v>28</v>
      </c>
      <c r="L173" s="27" t="s">
        <v>54</v>
      </c>
      <c r="M173" s="27">
        <v>0</v>
      </c>
      <c r="N173" s="27">
        <v>0</v>
      </c>
      <c r="O173" s="27" t="s">
        <v>509</v>
      </c>
    </row>
    <row r="174" spans="1:15" s="27" customFormat="1" ht="13" hidden="1" customHeight="1">
      <c r="A174" s="27" t="s">
        <v>324</v>
      </c>
      <c r="B174" s="32" t="s">
        <v>16</v>
      </c>
      <c r="C174" s="27" t="s">
        <v>373</v>
      </c>
      <c r="D174" s="27" t="s">
        <v>199</v>
      </c>
      <c r="E174" s="27" t="s">
        <v>62</v>
      </c>
      <c r="F174" s="27" t="s">
        <v>478</v>
      </c>
      <c r="G174" s="27" t="s">
        <v>19</v>
      </c>
      <c r="H174" s="27">
        <v>184</v>
      </c>
      <c r="I174" s="27" t="s">
        <v>19</v>
      </c>
      <c r="K174" s="27">
        <v>25</v>
      </c>
      <c r="L174" s="27" t="s">
        <v>54</v>
      </c>
      <c r="M174" s="27">
        <v>0</v>
      </c>
      <c r="N174" s="27">
        <v>0</v>
      </c>
      <c r="O174" s="27" t="s">
        <v>509</v>
      </c>
    </row>
    <row r="175" spans="1:15" s="27" customFormat="1" ht="13" hidden="1" customHeight="1">
      <c r="A175" s="27" t="s">
        <v>324</v>
      </c>
      <c r="B175" s="32" t="s">
        <v>16</v>
      </c>
      <c r="C175" s="27" t="s">
        <v>496</v>
      </c>
      <c r="D175" s="27" t="s">
        <v>437</v>
      </c>
      <c r="E175" s="27" t="s">
        <v>374</v>
      </c>
      <c r="F175" s="27" t="s">
        <v>438</v>
      </c>
      <c r="G175" s="27" t="s">
        <v>32</v>
      </c>
      <c r="H175" s="31">
        <v>8959</v>
      </c>
      <c r="I175" s="27" t="s">
        <v>32</v>
      </c>
      <c r="K175" s="27">
        <v>1</v>
      </c>
      <c r="L175" s="27" t="s">
        <v>32</v>
      </c>
      <c r="M175" s="27">
        <v>0</v>
      </c>
      <c r="N175" s="27">
        <v>0</v>
      </c>
      <c r="O175" s="27" t="s">
        <v>354</v>
      </c>
    </row>
    <row r="176" spans="1:15" s="27" customFormat="1" ht="13" hidden="1" customHeight="1">
      <c r="A176" s="27" t="s">
        <v>324</v>
      </c>
      <c r="B176" s="32" t="s">
        <v>16</v>
      </c>
      <c r="C176" s="27" t="s">
        <v>375</v>
      </c>
      <c r="D176" s="27" t="s">
        <v>425</v>
      </c>
      <c r="E176" s="27" t="s">
        <v>153</v>
      </c>
      <c r="F176" s="27" t="s">
        <v>423</v>
      </c>
      <c r="G176" s="27" t="s">
        <v>32</v>
      </c>
      <c r="H176" s="31">
        <v>3429</v>
      </c>
      <c r="I176" s="27" t="s">
        <v>32</v>
      </c>
      <c r="K176" s="27">
        <v>1</v>
      </c>
      <c r="L176" s="27" t="s">
        <v>32</v>
      </c>
      <c r="M176" s="27">
        <v>0</v>
      </c>
      <c r="N176" s="27">
        <v>0</v>
      </c>
      <c r="O176" s="27" t="s">
        <v>424</v>
      </c>
    </row>
    <row r="177" spans="1:21" s="27" customFormat="1" ht="13" hidden="1" customHeight="1">
      <c r="A177" s="27" t="s">
        <v>324</v>
      </c>
      <c r="B177" s="32" t="s">
        <v>16</v>
      </c>
      <c r="C177" s="27" t="s">
        <v>376</v>
      </c>
      <c r="D177" s="27" t="s">
        <v>456</v>
      </c>
      <c r="E177" s="27" t="s">
        <v>155</v>
      </c>
      <c r="F177" s="27" t="s">
        <v>423</v>
      </c>
      <c r="G177" s="27" t="s">
        <v>32</v>
      </c>
      <c r="H177" s="31">
        <v>3247</v>
      </c>
      <c r="I177" s="27" t="s">
        <v>32</v>
      </c>
      <c r="K177" s="27">
        <v>1</v>
      </c>
      <c r="L177" s="27" t="s">
        <v>32</v>
      </c>
      <c r="M177" s="27">
        <v>0</v>
      </c>
      <c r="N177" s="27">
        <v>0</v>
      </c>
      <c r="O177" s="27" t="s">
        <v>424</v>
      </c>
    </row>
    <row r="178" spans="1:21" s="27" customFormat="1" ht="13" hidden="1" customHeight="1">
      <c r="A178" s="27" t="s">
        <v>324</v>
      </c>
      <c r="B178" s="32" t="s">
        <v>16</v>
      </c>
      <c r="C178" s="27" t="s">
        <v>380</v>
      </c>
      <c r="D178" s="27" t="s">
        <v>436</v>
      </c>
      <c r="E178" s="27" t="s">
        <v>157</v>
      </c>
      <c r="F178" s="27" t="s">
        <v>423</v>
      </c>
      <c r="G178" s="27" t="s">
        <v>32</v>
      </c>
      <c r="H178" s="31">
        <v>2699</v>
      </c>
      <c r="I178" s="27" t="s">
        <v>32</v>
      </c>
      <c r="K178" s="27">
        <v>1</v>
      </c>
      <c r="L178" s="27" t="s">
        <v>32</v>
      </c>
      <c r="M178" s="27">
        <v>0</v>
      </c>
      <c r="N178" s="27">
        <v>0</v>
      </c>
      <c r="O178" s="27" t="s">
        <v>500</v>
      </c>
    </row>
    <row r="179" spans="1:21" s="27" customFormat="1" ht="13" hidden="1" customHeight="1">
      <c r="A179" s="27" t="s">
        <v>324</v>
      </c>
      <c r="B179" s="32" t="s">
        <v>16</v>
      </c>
      <c r="C179" s="27" t="s">
        <v>377</v>
      </c>
      <c r="D179" s="27" t="s">
        <v>159</v>
      </c>
      <c r="E179" s="27" t="s">
        <v>378</v>
      </c>
      <c r="F179" s="27" t="s">
        <v>423</v>
      </c>
      <c r="G179" s="27" t="s">
        <v>79</v>
      </c>
      <c r="H179" s="31">
        <v>1336</v>
      </c>
      <c r="I179" s="27" t="s">
        <v>79</v>
      </c>
      <c r="K179" s="27">
        <v>1</v>
      </c>
      <c r="L179" s="27" t="s">
        <v>79</v>
      </c>
      <c r="M179" s="27">
        <v>0</v>
      </c>
      <c r="N179" s="27">
        <v>0</v>
      </c>
      <c r="O179" s="27" t="s">
        <v>498</v>
      </c>
    </row>
    <row r="180" spans="1:21" s="27" customFormat="1" ht="13" hidden="1" customHeight="1">
      <c r="A180" s="27" t="s">
        <v>324</v>
      </c>
      <c r="B180" s="32" t="s">
        <v>16</v>
      </c>
      <c r="C180" s="27" t="s">
        <v>495</v>
      </c>
      <c r="D180" s="27" t="s">
        <v>437</v>
      </c>
      <c r="E180" s="27" t="s">
        <v>381</v>
      </c>
      <c r="F180" s="27" t="s">
        <v>490</v>
      </c>
      <c r="G180" s="27" t="s">
        <v>32</v>
      </c>
      <c r="H180" s="31">
        <v>6136</v>
      </c>
      <c r="I180" s="27" t="s">
        <v>32</v>
      </c>
      <c r="K180" s="27">
        <v>1</v>
      </c>
      <c r="L180" s="27" t="s">
        <v>32</v>
      </c>
      <c r="M180" s="27">
        <v>0</v>
      </c>
      <c r="N180" s="27">
        <v>0</v>
      </c>
      <c r="O180" s="27" t="s">
        <v>491</v>
      </c>
    </row>
    <row r="181" spans="1:21" s="27" customFormat="1" ht="13" hidden="1" customHeight="1">
      <c r="A181" s="27" t="s">
        <v>324</v>
      </c>
      <c r="B181" s="27" t="s">
        <v>16</v>
      </c>
      <c r="C181" s="27" t="s">
        <v>382</v>
      </c>
      <c r="D181" s="27" t="s">
        <v>437</v>
      </c>
      <c r="E181" s="27" t="s">
        <v>383</v>
      </c>
      <c r="F181" s="27" t="s">
        <v>438</v>
      </c>
      <c r="G181" s="27" t="s">
        <v>32</v>
      </c>
      <c r="H181" s="31">
        <v>3800</v>
      </c>
      <c r="I181" s="27" t="s">
        <v>32</v>
      </c>
      <c r="K181" s="27">
        <v>1</v>
      </c>
      <c r="L181" s="27" t="s">
        <v>32</v>
      </c>
      <c r="M181" s="27">
        <v>0</v>
      </c>
      <c r="N181" s="27">
        <v>0</v>
      </c>
      <c r="O181" s="27" t="s">
        <v>354</v>
      </c>
    </row>
    <row r="182" spans="1:21" s="27" customFormat="1" ht="13" hidden="1" customHeight="1">
      <c r="A182" s="27" t="s">
        <v>324</v>
      </c>
      <c r="B182" s="27" t="s">
        <v>16</v>
      </c>
      <c r="C182" s="27" t="s">
        <v>384</v>
      </c>
      <c r="D182" s="27" t="s">
        <v>437</v>
      </c>
      <c r="E182" s="27" t="s">
        <v>385</v>
      </c>
      <c r="F182" s="27" t="s">
        <v>438</v>
      </c>
      <c r="G182" s="27" t="s">
        <v>32</v>
      </c>
      <c r="H182" s="31">
        <v>3323</v>
      </c>
      <c r="I182" s="27" t="s">
        <v>32</v>
      </c>
      <c r="K182" s="27">
        <v>1</v>
      </c>
      <c r="L182" s="27" t="s">
        <v>32</v>
      </c>
      <c r="M182" s="27">
        <v>0</v>
      </c>
      <c r="N182" s="27">
        <v>0</v>
      </c>
      <c r="O182" s="27" t="s">
        <v>354</v>
      </c>
    </row>
    <row r="183" spans="1:21" ht="13" hidden="1" customHeight="1">
      <c r="A183" s="9" t="s">
        <v>324</v>
      </c>
      <c r="B183" s="9" t="s">
        <v>64</v>
      </c>
      <c r="C183" s="9" t="s">
        <v>496</v>
      </c>
      <c r="D183" s="9" t="s">
        <v>437</v>
      </c>
      <c r="E183" s="9" t="s">
        <v>201</v>
      </c>
      <c r="F183" s="9" t="s">
        <v>438</v>
      </c>
      <c r="G183" s="9" t="s">
        <v>32</v>
      </c>
      <c r="H183" s="8">
        <v>8959</v>
      </c>
      <c r="I183" s="9" t="s">
        <v>32</v>
      </c>
      <c r="K183" s="9">
        <v>1</v>
      </c>
      <c r="L183" s="9" t="s">
        <v>32</v>
      </c>
      <c r="M183" s="9">
        <v>0</v>
      </c>
      <c r="N183" s="9">
        <v>0</v>
      </c>
      <c r="O183" s="9" t="s">
        <v>354</v>
      </c>
    </row>
    <row r="184" spans="1:21" ht="13" hidden="1" customHeight="1">
      <c r="A184" s="9" t="s">
        <v>324</v>
      </c>
      <c r="B184" s="9" t="s">
        <v>64</v>
      </c>
      <c r="C184" s="9" t="s">
        <v>495</v>
      </c>
      <c r="D184" s="9" t="s">
        <v>437</v>
      </c>
      <c r="E184" s="9" t="s">
        <v>381</v>
      </c>
      <c r="F184" s="9" t="s">
        <v>490</v>
      </c>
      <c r="G184" s="9" t="s">
        <v>32</v>
      </c>
      <c r="H184" s="8">
        <v>6136</v>
      </c>
      <c r="I184" s="9" t="s">
        <v>32</v>
      </c>
      <c r="K184" s="9">
        <v>1</v>
      </c>
      <c r="L184" s="9" t="s">
        <v>32</v>
      </c>
      <c r="M184" s="9">
        <v>0</v>
      </c>
      <c r="N184" s="9">
        <v>0</v>
      </c>
      <c r="O184" s="9" t="s">
        <v>491</v>
      </c>
    </row>
    <row r="185" spans="1:21" ht="13" hidden="1" customHeight="1">
      <c r="A185" s="9" t="s">
        <v>324</v>
      </c>
      <c r="B185" s="9" t="s">
        <v>64</v>
      </c>
      <c r="C185" s="9" t="s">
        <v>382</v>
      </c>
      <c r="D185" s="9" t="s">
        <v>437</v>
      </c>
      <c r="E185" s="9" t="s">
        <v>383</v>
      </c>
      <c r="F185" s="9" t="s">
        <v>438</v>
      </c>
      <c r="G185" s="9" t="s">
        <v>32</v>
      </c>
      <c r="H185" s="8">
        <v>3800</v>
      </c>
      <c r="I185" s="9" t="s">
        <v>32</v>
      </c>
      <c r="K185" s="9">
        <v>1</v>
      </c>
      <c r="L185" s="9" t="s">
        <v>32</v>
      </c>
      <c r="M185" s="9">
        <v>0</v>
      </c>
      <c r="N185" s="9">
        <v>0</v>
      </c>
      <c r="O185" s="9" t="s">
        <v>354</v>
      </c>
    </row>
    <row r="186" spans="1:21" ht="13" hidden="1" customHeight="1">
      <c r="A186" s="9" t="s">
        <v>324</v>
      </c>
      <c r="B186" s="9" t="s">
        <v>64</v>
      </c>
      <c r="C186" s="9" t="s">
        <v>384</v>
      </c>
      <c r="D186" s="9" t="s">
        <v>437</v>
      </c>
      <c r="E186" s="9" t="s">
        <v>385</v>
      </c>
      <c r="F186" s="9" t="s">
        <v>438</v>
      </c>
      <c r="G186" s="9" t="s">
        <v>32</v>
      </c>
      <c r="H186" s="8">
        <v>3323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354</v>
      </c>
      <c r="U186" s="11"/>
    </row>
    <row r="187" spans="1:21" s="27" customFormat="1" ht="13" hidden="1" customHeight="1">
      <c r="A187" s="27" t="s">
        <v>324</v>
      </c>
      <c r="B187" s="27" t="s">
        <v>16</v>
      </c>
      <c r="C187" s="27" t="s">
        <v>407</v>
      </c>
      <c r="D187" s="27" t="s">
        <v>451</v>
      </c>
      <c r="E187" s="27" t="s">
        <v>136</v>
      </c>
      <c r="F187" s="27" t="s">
        <v>452</v>
      </c>
      <c r="G187" s="27" t="s">
        <v>19</v>
      </c>
      <c r="H187" s="31">
        <v>3086</v>
      </c>
      <c r="I187" s="27" t="s">
        <v>19</v>
      </c>
      <c r="K187" s="27">
        <v>6</v>
      </c>
      <c r="L187" s="27" t="s">
        <v>20</v>
      </c>
      <c r="M187" s="27">
        <v>0</v>
      </c>
      <c r="N187" s="27">
        <v>0</v>
      </c>
      <c r="O187" s="27" t="s">
        <v>453</v>
      </c>
    </row>
    <row r="188" spans="1:21" s="27" customFormat="1" ht="13" hidden="1" customHeight="1">
      <c r="A188" s="27" t="s">
        <v>324</v>
      </c>
      <c r="B188" s="27" t="s">
        <v>16</v>
      </c>
      <c r="C188" s="27" t="s">
        <v>408</v>
      </c>
      <c r="D188" s="27" t="s">
        <v>468</v>
      </c>
      <c r="E188" s="27" t="s">
        <v>138</v>
      </c>
      <c r="F188" s="27" t="s">
        <v>466</v>
      </c>
      <c r="G188" s="27" t="s">
        <v>19</v>
      </c>
      <c r="H188" s="31">
        <v>4078</v>
      </c>
      <c r="I188" s="27" t="s">
        <v>19</v>
      </c>
      <c r="K188" s="27">
        <v>6</v>
      </c>
      <c r="L188" s="27" t="s">
        <v>20</v>
      </c>
      <c r="M188" s="27">
        <v>0</v>
      </c>
      <c r="N188" s="27">
        <v>0</v>
      </c>
      <c r="O188" s="27" t="s">
        <v>467</v>
      </c>
    </row>
    <row r="189" spans="1:21" s="27" customFormat="1" ht="13" hidden="1" customHeight="1">
      <c r="A189" s="27" t="s">
        <v>324</v>
      </c>
      <c r="B189" s="27" t="s">
        <v>16</v>
      </c>
      <c r="C189" s="27" t="s">
        <v>409</v>
      </c>
      <c r="D189" s="27" t="s">
        <v>487</v>
      </c>
      <c r="E189" s="27" t="s">
        <v>107</v>
      </c>
      <c r="F189" s="27" t="s">
        <v>488</v>
      </c>
      <c r="G189" s="27" t="s">
        <v>19</v>
      </c>
      <c r="H189" s="31">
        <v>2186</v>
      </c>
      <c r="I189" s="27" t="s">
        <v>19</v>
      </c>
      <c r="K189" s="27">
        <v>4.5</v>
      </c>
      <c r="L189" s="27" t="s">
        <v>20</v>
      </c>
      <c r="M189" s="27">
        <v>0</v>
      </c>
      <c r="N189" s="27">
        <v>0</v>
      </c>
      <c r="O189" s="27" t="s">
        <v>489</v>
      </c>
    </row>
    <row r="190" spans="1:21" s="27" customFormat="1" ht="13" hidden="1" customHeight="1">
      <c r="A190" s="27" t="s">
        <v>324</v>
      </c>
      <c r="B190" s="27" t="s">
        <v>16</v>
      </c>
      <c r="C190" s="27" t="s">
        <v>410</v>
      </c>
      <c r="D190" s="27" t="s">
        <v>448</v>
      </c>
      <c r="E190" s="27" t="s">
        <v>411</v>
      </c>
      <c r="F190" s="27" t="s">
        <v>449</v>
      </c>
      <c r="G190" s="27" t="s">
        <v>19</v>
      </c>
      <c r="H190" s="31">
        <v>3435</v>
      </c>
      <c r="I190" s="27" t="s">
        <v>19</v>
      </c>
      <c r="K190" s="27">
        <v>6</v>
      </c>
      <c r="L190" s="27" t="s">
        <v>20</v>
      </c>
      <c r="M190" s="27">
        <v>0</v>
      </c>
      <c r="N190" s="27">
        <v>0</v>
      </c>
      <c r="O190" s="27" t="s">
        <v>450</v>
      </c>
    </row>
    <row r="191" spans="1:21" s="27" customFormat="1" ht="13" hidden="1" customHeight="1">
      <c r="A191" s="27" t="s">
        <v>324</v>
      </c>
      <c r="B191" s="27" t="s">
        <v>16</v>
      </c>
      <c r="C191" s="27" t="s">
        <v>412</v>
      </c>
      <c r="D191" s="27" t="s">
        <v>330</v>
      </c>
      <c r="E191" s="27" t="s">
        <v>413</v>
      </c>
      <c r="F191" s="27" t="s">
        <v>426</v>
      </c>
      <c r="G191" s="27" t="s">
        <v>19</v>
      </c>
      <c r="H191" s="31">
        <v>4029</v>
      </c>
      <c r="I191" s="27" t="s">
        <v>19</v>
      </c>
      <c r="K191" s="27">
        <v>6</v>
      </c>
      <c r="L191" s="27" t="s">
        <v>20</v>
      </c>
      <c r="M191" s="27">
        <v>0</v>
      </c>
      <c r="N191" s="27">
        <v>0</v>
      </c>
      <c r="O191" s="27" t="s">
        <v>427</v>
      </c>
    </row>
    <row r="192" spans="1:21" s="27" customFormat="1" ht="13" hidden="1" customHeight="1">
      <c r="A192" s="27" t="s">
        <v>324</v>
      </c>
      <c r="B192" s="27" t="s">
        <v>16</v>
      </c>
      <c r="C192" s="27" t="s">
        <v>414</v>
      </c>
      <c r="D192" s="27" t="s">
        <v>341</v>
      </c>
      <c r="E192" s="27" t="s">
        <v>141</v>
      </c>
      <c r="F192" s="27" t="s">
        <v>485</v>
      </c>
      <c r="G192" s="27" t="s">
        <v>19</v>
      </c>
      <c r="H192" s="27">
        <v>810</v>
      </c>
      <c r="I192" s="27" t="s">
        <v>19</v>
      </c>
      <c r="K192" s="27">
        <v>6</v>
      </c>
      <c r="L192" s="27" t="s">
        <v>20</v>
      </c>
      <c r="M192" s="27">
        <v>0</v>
      </c>
      <c r="N192" s="27">
        <v>0</v>
      </c>
      <c r="O192" s="27" t="s">
        <v>511</v>
      </c>
    </row>
    <row r="193" spans="1:15" s="27" customFormat="1" ht="13" hidden="1" customHeight="1">
      <c r="A193" s="27" t="s">
        <v>324</v>
      </c>
      <c r="B193" s="27" t="s">
        <v>16</v>
      </c>
      <c r="C193" s="27" t="s">
        <v>496</v>
      </c>
      <c r="D193" s="27" t="s">
        <v>437</v>
      </c>
      <c r="E193" s="27" t="s">
        <v>149</v>
      </c>
      <c r="F193" s="27" t="s">
        <v>438</v>
      </c>
      <c r="G193" s="27" t="s">
        <v>32</v>
      </c>
      <c r="H193" s="31">
        <v>8959</v>
      </c>
      <c r="I193" s="27" t="s">
        <v>32</v>
      </c>
      <c r="K193" s="27">
        <v>1</v>
      </c>
      <c r="L193" s="27" t="s">
        <v>32</v>
      </c>
      <c r="M193" s="27">
        <v>0</v>
      </c>
      <c r="N193" s="27">
        <v>0</v>
      </c>
      <c r="O193" s="27" t="s">
        <v>354</v>
      </c>
    </row>
    <row r="194" spans="1:15" s="27" customFormat="1" ht="13" hidden="1" customHeight="1">
      <c r="A194" s="27" t="s">
        <v>324</v>
      </c>
      <c r="B194" s="27" t="s">
        <v>16</v>
      </c>
      <c r="C194" s="27" t="s">
        <v>415</v>
      </c>
      <c r="D194" s="27" t="s">
        <v>425</v>
      </c>
      <c r="E194" s="27" t="s">
        <v>416</v>
      </c>
      <c r="F194" s="27" t="s">
        <v>423</v>
      </c>
      <c r="G194" s="27" t="s">
        <v>32</v>
      </c>
      <c r="H194" s="31">
        <v>3429</v>
      </c>
      <c r="I194" s="27" t="s">
        <v>32</v>
      </c>
      <c r="K194" s="27">
        <v>1</v>
      </c>
      <c r="L194" s="27" t="s">
        <v>32</v>
      </c>
      <c r="M194" s="27">
        <v>0</v>
      </c>
      <c r="N194" s="27">
        <v>0</v>
      </c>
      <c r="O194" s="27" t="s">
        <v>424</v>
      </c>
    </row>
    <row r="195" spans="1:15" s="27" customFormat="1" ht="13" hidden="1" customHeight="1">
      <c r="A195" s="27" t="s">
        <v>324</v>
      </c>
      <c r="B195" s="27" t="s">
        <v>16</v>
      </c>
      <c r="C195" s="27" t="s">
        <v>419</v>
      </c>
      <c r="D195" s="27" t="s">
        <v>481</v>
      </c>
      <c r="E195" s="27" t="s">
        <v>69</v>
      </c>
      <c r="F195" s="27" t="s">
        <v>482</v>
      </c>
      <c r="G195" s="27" t="s">
        <v>32</v>
      </c>
      <c r="H195" s="31">
        <v>2505</v>
      </c>
      <c r="I195" s="27" t="s">
        <v>32</v>
      </c>
      <c r="K195" s="27">
        <v>1</v>
      </c>
      <c r="L195" s="27" t="s">
        <v>32</v>
      </c>
      <c r="M195" s="27">
        <v>0</v>
      </c>
      <c r="N195" s="27">
        <v>0</v>
      </c>
      <c r="O195" s="27" t="s">
        <v>507</v>
      </c>
    </row>
    <row r="196" spans="1:15" s="27" customFormat="1" ht="13" hidden="1" customHeight="1">
      <c r="A196" s="27" t="s">
        <v>324</v>
      </c>
      <c r="B196" s="27" t="s">
        <v>16</v>
      </c>
      <c r="C196" s="27" t="s">
        <v>420</v>
      </c>
      <c r="D196" s="27" t="s">
        <v>428</v>
      </c>
      <c r="E196" s="27" t="s">
        <v>109</v>
      </c>
      <c r="F196" s="27" t="s">
        <v>429</v>
      </c>
      <c r="G196" s="27" t="s">
        <v>79</v>
      </c>
      <c r="H196" s="31">
        <v>2448</v>
      </c>
      <c r="I196" s="27" t="s">
        <v>79</v>
      </c>
      <c r="K196" s="27">
        <v>1</v>
      </c>
      <c r="L196" s="27" t="s">
        <v>79</v>
      </c>
      <c r="M196" s="27">
        <v>0</v>
      </c>
      <c r="N196" s="27">
        <v>0</v>
      </c>
      <c r="O196" s="27" t="s">
        <v>430</v>
      </c>
    </row>
    <row r="197" spans="1:15" s="27" customFormat="1" ht="13" hidden="1" customHeight="1">
      <c r="A197" s="27" t="s">
        <v>324</v>
      </c>
      <c r="B197" s="27" t="s">
        <v>16</v>
      </c>
      <c r="C197" s="27" t="s">
        <v>417</v>
      </c>
      <c r="D197" s="27" t="s">
        <v>421</v>
      </c>
      <c r="E197" s="27" t="s">
        <v>418</v>
      </c>
      <c r="F197" s="27" t="s">
        <v>422</v>
      </c>
      <c r="G197" s="27" t="s">
        <v>79</v>
      </c>
      <c r="H197" s="27">
        <v>230</v>
      </c>
      <c r="I197" s="27" t="s">
        <v>79</v>
      </c>
      <c r="K197" s="27">
        <v>1</v>
      </c>
      <c r="L197" s="27" t="s">
        <v>79</v>
      </c>
      <c r="M197" s="27">
        <v>0</v>
      </c>
      <c r="N197" s="27">
        <v>0</v>
      </c>
      <c r="O197" s="30" t="s">
        <v>497</v>
      </c>
    </row>
    <row r="198" spans="1:15" ht="13" customHeight="1">
      <c r="G198" s="9"/>
      <c r="H198" s="9"/>
      <c r="I198" s="9"/>
    </row>
    <row r="199" spans="1:15" ht="13" customHeight="1">
      <c r="G199" s="9"/>
      <c r="H199" s="9"/>
      <c r="I199" s="9"/>
    </row>
    <row r="200" spans="1:15" ht="13" customHeight="1">
      <c r="G200" s="9"/>
      <c r="H200" s="9"/>
      <c r="I200" s="9"/>
    </row>
    <row r="201" spans="1:15" ht="13" customHeight="1">
      <c r="G201" s="9"/>
      <c r="H201" s="9"/>
      <c r="I201" s="9"/>
    </row>
    <row r="202" spans="1:15" ht="13" customHeight="1">
      <c r="G202" s="9"/>
      <c r="H202" s="9"/>
      <c r="I202" s="9"/>
    </row>
    <row r="203" spans="1:15" ht="13" customHeight="1">
      <c r="G203" s="9"/>
      <c r="H203" s="9"/>
      <c r="I203" s="9"/>
    </row>
    <row r="204" spans="1:15" ht="13" customHeight="1">
      <c r="G204" s="9"/>
      <c r="H204" s="9"/>
      <c r="I204" s="9"/>
    </row>
    <row r="205" spans="1:15" ht="13" customHeight="1">
      <c r="G205" s="9"/>
      <c r="H205" s="9"/>
      <c r="I205" s="9"/>
    </row>
    <row r="206" spans="1:15" ht="13" customHeight="1">
      <c r="G206" s="9"/>
      <c r="H206" s="9"/>
      <c r="I206" s="9"/>
    </row>
    <row r="207" spans="1:15" ht="13" customHeight="1">
      <c r="G207" s="9"/>
      <c r="H207" s="9"/>
      <c r="I207" s="9"/>
    </row>
    <row r="208" spans="1:15" ht="13" customHeight="1">
      <c r="G208" s="9"/>
      <c r="H208" s="9"/>
      <c r="I208" s="9"/>
    </row>
    <row r="209" spans="7:20" ht="13" customHeight="1">
      <c r="G209" s="9"/>
      <c r="H209" s="9"/>
      <c r="I209" s="9"/>
    </row>
    <row r="210" spans="7:20" ht="13" customHeight="1">
      <c r="G210" s="9"/>
      <c r="H210" s="9"/>
      <c r="I210" s="9"/>
    </row>
    <row r="211" spans="7:20" ht="13" customHeight="1">
      <c r="G211" s="9"/>
      <c r="H211" s="9"/>
      <c r="I211" s="9"/>
    </row>
    <row r="212" spans="7:20" ht="13" customHeight="1">
      <c r="G212" s="9"/>
      <c r="H212" s="9"/>
      <c r="I212" s="9"/>
    </row>
    <row r="213" spans="7:20" ht="13" customHeight="1">
      <c r="G213" s="9"/>
      <c r="H213" s="9"/>
      <c r="I213" s="9"/>
    </row>
    <row r="214" spans="7:20" ht="13" customHeight="1">
      <c r="G214" s="9"/>
      <c r="H214" s="9"/>
      <c r="I214" s="9"/>
    </row>
    <row r="215" spans="7:20" ht="13" customHeight="1">
      <c r="G215" s="9"/>
      <c r="H215" s="9"/>
      <c r="I215" s="9"/>
    </row>
    <row r="216" spans="7:20" ht="13" customHeight="1">
      <c r="G216" s="9"/>
      <c r="H216" s="9"/>
      <c r="I216" s="9"/>
    </row>
    <row r="217" spans="7:20" ht="13" customHeight="1">
      <c r="G217" s="9"/>
      <c r="H217" s="9"/>
      <c r="I217" s="9"/>
    </row>
    <row r="218" spans="7:20" ht="13" customHeight="1">
      <c r="G218" s="9"/>
      <c r="H218" s="9"/>
      <c r="I218" s="9"/>
    </row>
    <row r="219" spans="7:20" ht="13" customHeight="1">
      <c r="G219" s="9"/>
      <c r="H219" s="9"/>
      <c r="I219" s="9"/>
    </row>
    <row r="220" spans="7:20" ht="13" customHeight="1">
      <c r="G220" s="9"/>
      <c r="H220" s="9"/>
      <c r="I220" s="9"/>
      <c r="T220"/>
    </row>
    <row r="221" spans="7:20" ht="13" customHeight="1">
      <c r="G221" s="9"/>
      <c r="H221" s="9"/>
      <c r="I221" s="9"/>
    </row>
    <row r="222" spans="7:20" ht="13" customHeight="1">
      <c r="G222" s="9"/>
      <c r="H222" s="9"/>
      <c r="I222" s="9"/>
    </row>
    <row r="223" spans="7:20" ht="13" customHeight="1">
      <c r="G223" s="9"/>
      <c r="H223" s="9"/>
      <c r="I223" s="9"/>
    </row>
    <row r="224" spans="7:20" ht="13" customHeight="1">
      <c r="G224" s="9"/>
      <c r="H224" s="9"/>
      <c r="I224" s="9"/>
    </row>
    <row r="225" spans="4:14" ht="13" customHeight="1">
      <c r="G225" s="9"/>
      <c r="H225" s="9"/>
      <c r="I225" s="9"/>
    </row>
    <row r="226" spans="4:14" ht="13" customHeight="1">
      <c r="G226" s="9"/>
      <c r="H226" s="9"/>
      <c r="I226" s="9"/>
    </row>
    <row r="227" spans="4:14" ht="13" customHeight="1">
      <c r="G227" s="9"/>
      <c r="H227" s="9"/>
      <c r="I227" s="9"/>
    </row>
    <row r="228" spans="4:14" ht="13" customHeight="1">
      <c r="G228" s="9"/>
      <c r="H228" s="9"/>
      <c r="I228" s="9"/>
    </row>
    <row r="229" spans="4:14" ht="13" customHeight="1">
      <c r="G229" s="9"/>
      <c r="H229" s="9"/>
      <c r="I229" s="9"/>
    </row>
    <row r="230" spans="4:14" ht="13" customHeight="1">
      <c r="G230" s="9"/>
      <c r="H230" s="9"/>
      <c r="I230" s="9"/>
    </row>
    <row r="231" spans="4:14" ht="13" customHeight="1">
      <c r="D231" s="6"/>
      <c r="G231" s="6"/>
      <c r="L231" s="6"/>
      <c r="N231" s="10"/>
    </row>
    <row r="232" spans="4:14" ht="13" customHeight="1">
      <c r="D232" s="6"/>
      <c r="G232" s="6"/>
      <c r="L232" s="6"/>
      <c r="N232" s="10"/>
    </row>
    <row r="233" spans="4:14" ht="13" customHeight="1">
      <c r="D233" s="6"/>
      <c r="G233" s="6"/>
      <c r="L233" s="6"/>
      <c r="N233" s="10"/>
    </row>
    <row r="234" spans="4:14" ht="13" customHeight="1">
      <c r="D234" s="6"/>
      <c r="G234" s="6"/>
      <c r="L234" s="6"/>
      <c r="N234" s="10"/>
    </row>
    <row r="235" spans="4:14" ht="13" customHeight="1">
      <c r="D235" s="6"/>
      <c r="G235" s="6"/>
      <c r="L235" s="6"/>
      <c r="N235" s="10"/>
    </row>
    <row r="236" spans="4:14" ht="13" customHeight="1">
      <c r="D236" s="6"/>
      <c r="G236" s="6"/>
      <c r="L236" s="6"/>
      <c r="N236" s="10"/>
    </row>
    <row r="237" spans="4:14" ht="13" customHeight="1">
      <c r="D237" s="6"/>
      <c r="G237" s="6"/>
      <c r="L237" s="6"/>
      <c r="N237" s="10"/>
    </row>
    <row r="238" spans="4:14" ht="13" customHeight="1">
      <c r="D238" s="6"/>
      <c r="G238" s="6"/>
      <c r="L238" s="6"/>
      <c r="N238" s="10"/>
    </row>
    <row r="239" spans="4:14" ht="13" customHeight="1">
      <c r="D239" s="6"/>
      <c r="G239" s="6"/>
      <c r="L239" s="6"/>
      <c r="N239" s="10"/>
    </row>
    <row r="240" spans="4:14" ht="13" customHeight="1">
      <c r="D240" s="6"/>
      <c r="G240" s="6"/>
      <c r="L240" s="6"/>
      <c r="N240" s="10"/>
    </row>
    <row r="241" spans="4:14" ht="13" customHeight="1">
      <c r="D241" s="6"/>
      <c r="G241" s="6"/>
      <c r="L241" s="6"/>
      <c r="N241" s="10"/>
    </row>
    <row r="242" spans="4:14" ht="13" customHeight="1">
      <c r="D242" s="6"/>
      <c r="G242" s="6"/>
      <c r="L242" s="6"/>
      <c r="N242" s="10"/>
    </row>
    <row r="243" spans="4:14" ht="13" customHeight="1">
      <c r="D243" s="6"/>
      <c r="G243" s="6"/>
      <c r="L243" s="6"/>
      <c r="N243" s="10"/>
    </row>
    <row r="244" spans="4:14" ht="13" customHeight="1">
      <c r="D244" s="6"/>
      <c r="G244" s="6"/>
      <c r="L244" s="6"/>
      <c r="N244" s="10"/>
    </row>
    <row r="245" spans="4:14" ht="13" customHeight="1">
      <c r="D245" s="6"/>
      <c r="G245" s="6"/>
      <c r="L245" s="6"/>
      <c r="N245" s="10"/>
    </row>
    <row r="246" spans="4:14" ht="13" customHeight="1">
      <c r="D246" s="6"/>
      <c r="G246" s="6"/>
      <c r="L246" s="6"/>
      <c r="N246" s="10"/>
    </row>
    <row r="247" spans="4:14" ht="13" customHeight="1">
      <c r="D247" s="6"/>
      <c r="G247" s="6"/>
      <c r="L247" s="6"/>
      <c r="N247" s="10"/>
    </row>
    <row r="248" spans="4:14" ht="13" customHeight="1">
      <c r="D248" s="6"/>
      <c r="G248" s="6"/>
      <c r="L248" s="6"/>
      <c r="N248" s="10"/>
    </row>
    <row r="249" spans="4:14" ht="13" customHeight="1">
      <c r="D249" s="6"/>
      <c r="G249" s="6"/>
      <c r="L249" s="6"/>
      <c r="N249" s="10"/>
    </row>
    <row r="250" spans="4:14" ht="13" customHeight="1">
      <c r="D250" s="6"/>
      <c r="G250" s="6"/>
      <c r="L250" s="6"/>
      <c r="N250" s="10"/>
    </row>
    <row r="251" spans="4:14" ht="13" customHeight="1">
      <c r="D251" s="6"/>
      <c r="G251" s="6"/>
      <c r="L251" s="6"/>
      <c r="N251" s="10"/>
    </row>
    <row r="252" spans="4:14" ht="13" customHeight="1">
      <c r="D252" s="6"/>
      <c r="G252" s="6"/>
      <c r="L252" s="6"/>
      <c r="N252" s="10"/>
    </row>
    <row r="253" spans="4:14" ht="13" customHeight="1">
      <c r="D253" s="6"/>
      <c r="G253" s="6"/>
      <c r="L253" s="6"/>
      <c r="N253" s="10"/>
    </row>
    <row r="254" spans="4:14" ht="13" customHeight="1">
      <c r="D254" s="6"/>
      <c r="G254" s="6"/>
      <c r="L254" s="6"/>
      <c r="N254" s="10"/>
    </row>
    <row r="255" spans="4:14" ht="13" customHeight="1">
      <c r="D255" s="6"/>
      <c r="G255" s="6"/>
      <c r="L255" s="6"/>
      <c r="N255" s="10"/>
    </row>
    <row r="256" spans="4:14" ht="13" customHeight="1">
      <c r="D256" s="6"/>
      <c r="G256" s="6"/>
      <c r="L256" s="6"/>
      <c r="N256" s="10"/>
    </row>
    <row r="257" spans="4:14" ht="13" customHeight="1">
      <c r="D257" s="6"/>
      <c r="G257" s="6"/>
      <c r="L257" s="6"/>
      <c r="N257" s="10"/>
    </row>
    <row r="258" spans="4:14" ht="13" customHeight="1">
      <c r="D258" s="6"/>
      <c r="G258" s="6"/>
      <c r="L258" s="6"/>
      <c r="N258" s="10"/>
    </row>
    <row r="259" spans="4:14" ht="13" customHeight="1">
      <c r="D259" s="6"/>
      <c r="G259" s="6"/>
      <c r="L259" s="6"/>
      <c r="N259" s="10"/>
    </row>
    <row r="260" spans="4:14" ht="13" customHeight="1">
      <c r="D260" s="6"/>
      <c r="G260" s="6"/>
      <c r="L260" s="6"/>
      <c r="N260" s="10"/>
    </row>
    <row r="261" spans="4:14" ht="13" customHeight="1">
      <c r="D261" s="6"/>
      <c r="G261" s="6"/>
      <c r="L261" s="6"/>
      <c r="N261" s="10"/>
    </row>
    <row r="262" spans="4:14" ht="13" customHeight="1">
      <c r="D262" s="6"/>
      <c r="G262" s="6"/>
      <c r="L262" s="6"/>
      <c r="N262" s="10"/>
    </row>
    <row r="263" spans="4:14" ht="13" customHeight="1">
      <c r="D263" s="6"/>
      <c r="G263" s="6"/>
      <c r="L263" s="6"/>
      <c r="N263" s="10"/>
    </row>
    <row r="264" spans="4:14" ht="13" customHeight="1">
      <c r="D264" s="6"/>
      <c r="G264" s="6"/>
      <c r="L264" s="6"/>
      <c r="N264" s="10"/>
    </row>
    <row r="265" spans="4:14" ht="13" customHeight="1">
      <c r="D265" s="6"/>
      <c r="G265" s="6"/>
      <c r="L265" s="6"/>
      <c r="N265" s="10"/>
    </row>
    <row r="266" spans="4:14" ht="13" customHeight="1">
      <c r="D266" s="6"/>
      <c r="G266" s="6"/>
      <c r="L266" s="6"/>
      <c r="N266" s="10"/>
    </row>
    <row r="267" spans="4:14" ht="13" customHeight="1">
      <c r="D267" s="6"/>
      <c r="G267" s="6"/>
      <c r="L267" s="6"/>
      <c r="N267" s="10"/>
    </row>
    <row r="268" spans="4:14" ht="13" customHeight="1">
      <c r="D268" s="6"/>
      <c r="G268" s="6"/>
      <c r="L268" s="6"/>
      <c r="N268" s="10"/>
    </row>
    <row r="269" spans="4:14" ht="13" customHeight="1">
      <c r="D269" s="6"/>
      <c r="G269" s="6"/>
      <c r="L269" s="6"/>
      <c r="N269" s="10"/>
    </row>
    <row r="270" spans="4:14" ht="13" customHeight="1">
      <c r="D270" s="6"/>
      <c r="G270" s="6"/>
      <c r="L270" s="6"/>
      <c r="N270" s="10"/>
    </row>
    <row r="271" spans="4:14" ht="13" customHeight="1">
      <c r="D271" s="6"/>
      <c r="G271" s="6"/>
      <c r="L271" s="6"/>
      <c r="N271" s="10"/>
    </row>
    <row r="272" spans="4:14" ht="13" customHeight="1">
      <c r="D272" s="6"/>
      <c r="G272" s="6"/>
      <c r="L272" s="6"/>
      <c r="N272" s="10"/>
    </row>
    <row r="273" spans="4:14" ht="13" customHeight="1">
      <c r="D273" s="6"/>
      <c r="G273" s="6"/>
      <c r="L273" s="6"/>
      <c r="N273" s="10"/>
    </row>
    <row r="274" spans="4:14" ht="13" customHeight="1">
      <c r="D274" s="6"/>
      <c r="G274" s="6"/>
      <c r="L274" s="6"/>
      <c r="N274" s="10"/>
    </row>
    <row r="275" spans="4:14" ht="13" customHeight="1">
      <c r="D275" s="6"/>
      <c r="G275" s="6"/>
      <c r="L275" s="6"/>
      <c r="N275" s="10"/>
    </row>
    <row r="276" spans="4:14" ht="13" customHeight="1">
      <c r="D276" s="6"/>
      <c r="G276" s="6"/>
      <c r="L276" s="6"/>
      <c r="N276" s="10"/>
    </row>
    <row r="277" spans="4:14" ht="13" customHeight="1">
      <c r="D277" s="6"/>
      <c r="G277" s="6"/>
      <c r="L277" s="6"/>
      <c r="N277" s="10"/>
    </row>
    <row r="278" spans="4:14" ht="13" customHeight="1">
      <c r="D278" s="6"/>
      <c r="G278" s="6"/>
      <c r="L278" s="6"/>
      <c r="N278" s="10"/>
    </row>
    <row r="279" spans="4:14" ht="13" customHeight="1">
      <c r="D279" s="6"/>
      <c r="G279" s="6"/>
      <c r="L279" s="6"/>
      <c r="N279" s="10"/>
    </row>
    <row r="280" spans="4:14" ht="13" customHeight="1">
      <c r="D280" s="6"/>
      <c r="G280" s="6"/>
      <c r="L280" s="6"/>
      <c r="N280" s="10"/>
    </row>
    <row r="281" spans="4:14" ht="13" customHeight="1">
      <c r="D281" s="6"/>
      <c r="G281" s="6"/>
      <c r="L281" s="6"/>
      <c r="N281" s="10"/>
    </row>
    <row r="282" spans="4:14" ht="13" customHeight="1">
      <c r="D282" s="6"/>
      <c r="G282" s="6"/>
      <c r="L282" s="6"/>
      <c r="N282" s="10"/>
    </row>
    <row r="283" spans="4:14" ht="13" customHeight="1">
      <c r="D283" s="6"/>
      <c r="G283" s="6"/>
      <c r="L283" s="6"/>
      <c r="N283" s="10"/>
    </row>
    <row r="284" spans="4:14" ht="13" customHeight="1">
      <c r="D284" s="6"/>
      <c r="G284" s="6"/>
      <c r="L284" s="6"/>
      <c r="N284" s="10"/>
    </row>
    <row r="285" spans="4:14" ht="13" customHeight="1">
      <c r="D285" s="6"/>
      <c r="G285" s="6"/>
      <c r="L285" s="6"/>
      <c r="N285" s="10"/>
    </row>
    <row r="286" spans="4:14" ht="13" customHeight="1">
      <c r="D286" s="6"/>
      <c r="G286" s="6"/>
      <c r="L286" s="6"/>
      <c r="N286" s="10"/>
    </row>
    <row r="287" spans="4:14" ht="13" customHeight="1">
      <c r="D287" s="6"/>
      <c r="G287" s="6"/>
      <c r="L287" s="6"/>
      <c r="N287" s="10"/>
    </row>
    <row r="288" spans="4:14" ht="13" customHeight="1">
      <c r="D288" s="6"/>
      <c r="G288" s="6"/>
      <c r="L288" s="6"/>
      <c r="N288" s="10"/>
    </row>
    <row r="289" spans="4:14" ht="13" customHeight="1">
      <c r="D289" s="6"/>
      <c r="G289" s="6"/>
      <c r="L289" s="6"/>
      <c r="N289" s="10"/>
    </row>
    <row r="290" spans="4:14" ht="13" customHeight="1">
      <c r="D290" s="6"/>
      <c r="G290" s="6"/>
      <c r="L290" s="6"/>
      <c r="N290" s="10"/>
    </row>
    <row r="291" spans="4:14" ht="13" customHeight="1">
      <c r="D291" s="6"/>
      <c r="G291" s="6"/>
      <c r="L291" s="6"/>
      <c r="N291" s="10"/>
    </row>
    <row r="292" spans="4:14" ht="13" customHeight="1">
      <c r="D292" s="6"/>
      <c r="G292" s="6"/>
      <c r="L292" s="6"/>
      <c r="N292" s="10"/>
    </row>
    <row r="293" spans="4:14" ht="13" customHeight="1">
      <c r="D293" s="6"/>
      <c r="G293" s="6"/>
      <c r="L293" s="6"/>
      <c r="N293" s="10"/>
    </row>
    <row r="294" spans="4:14" ht="13" customHeight="1">
      <c r="D294" s="6"/>
      <c r="G294" s="6"/>
      <c r="L294" s="6"/>
      <c r="N294" s="10"/>
    </row>
    <row r="295" spans="4:14" ht="13" customHeight="1">
      <c r="D295" s="6"/>
      <c r="G295" s="6"/>
      <c r="L295" s="6"/>
      <c r="N295" s="10"/>
    </row>
    <row r="296" spans="4:14" ht="13" customHeight="1">
      <c r="D296" s="6"/>
      <c r="G296" s="6"/>
      <c r="L296" s="6"/>
      <c r="N296" s="10"/>
    </row>
    <row r="297" spans="4:14" ht="13" customHeight="1">
      <c r="D297" s="6"/>
      <c r="G297" s="6"/>
      <c r="L297" s="6"/>
      <c r="N297" s="10"/>
    </row>
    <row r="298" spans="4:14" ht="13" customHeight="1">
      <c r="D298" s="6"/>
      <c r="G298" s="6"/>
      <c r="L298" s="6"/>
      <c r="N298" s="10"/>
    </row>
    <row r="299" spans="4:14" ht="13" customHeight="1">
      <c r="D299" s="6"/>
      <c r="G299" s="6"/>
      <c r="L299" s="6"/>
      <c r="N299" s="10"/>
    </row>
    <row r="300" spans="4:14" ht="13" customHeight="1">
      <c r="D300" s="6"/>
      <c r="G300" s="6"/>
      <c r="L300" s="6"/>
      <c r="N300" s="10"/>
    </row>
    <row r="301" spans="4:14" ht="13" customHeight="1">
      <c r="D301" s="6"/>
      <c r="G301" s="6"/>
      <c r="L301" s="6"/>
      <c r="N301" s="10"/>
    </row>
    <row r="302" spans="4:14" ht="13" customHeight="1">
      <c r="D302" s="6"/>
      <c r="G302" s="6"/>
      <c r="L302" s="6"/>
      <c r="N302" s="10"/>
    </row>
    <row r="303" spans="4:14" ht="13" customHeight="1">
      <c r="D303" s="6"/>
      <c r="G303" s="6"/>
      <c r="L303" s="6"/>
      <c r="N303" s="10"/>
    </row>
    <row r="304" spans="4:14" ht="13" customHeight="1">
      <c r="D304" s="6"/>
      <c r="G304" s="6"/>
      <c r="L304" s="6"/>
      <c r="N304" s="10"/>
    </row>
    <row r="305" spans="4:14" ht="13" customHeight="1">
      <c r="D305" s="6"/>
      <c r="G305" s="6"/>
      <c r="L305" s="6"/>
      <c r="N305" s="10"/>
    </row>
    <row r="306" spans="4:14" ht="13" customHeight="1">
      <c r="D306" s="6"/>
      <c r="G306" s="6"/>
      <c r="L306" s="6"/>
      <c r="N306" s="10"/>
    </row>
    <row r="307" spans="4:14" ht="13" customHeight="1">
      <c r="D307" s="6"/>
      <c r="G307" s="6"/>
      <c r="L307" s="6"/>
      <c r="N307" s="10"/>
    </row>
    <row r="308" spans="4:14" ht="13" customHeight="1">
      <c r="D308" s="6"/>
      <c r="G308" s="6"/>
      <c r="L308" s="6"/>
      <c r="N308" s="10"/>
    </row>
    <row r="309" spans="4:14" ht="13" customHeight="1">
      <c r="D309" s="6"/>
      <c r="G309" s="6"/>
      <c r="L309" s="6"/>
      <c r="N309" s="10"/>
    </row>
    <row r="310" spans="4:14" ht="13" customHeight="1">
      <c r="D310" s="6"/>
      <c r="G310" s="6"/>
      <c r="L310" s="6"/>
      <c r="N310" s="10"/>
    </row>
    <row r="311" spans="4:14" ht="13" customHeight="1">
      <c r="D311" s="6"/>
      <c r="G311" s="6"/>
      <c r="L311" s="6"/>
      <c r="N311" s="10"/>
    </row>
    <row r="312" spans="4:14" ht="13" customHeight="1">
      <c r="D312" s="6"/>
      <c r="G312" s="6"/>
      <c r="L312" s="6"/>
      <c r="N312" s="10"/>
    </row>
    <row r="313" spans="4:14" ht="13" customHeight="1">
      <c r="D313" s="6"/>
      <c r="G313" s="6"/>
      <c r="L313" s="6"/>
      <c r="N313" s="10"/>
    </row>
    <row r="314" spans="4:14" ht="13" customHeight="1">
      <c r="D314" s="6"/>
      <c r="G314" s="6"/>
      <c r="L314" s="6"/>
      <c r="N314" s="10"/>
    </row>
    <row r="315" spans="4:14" ht="13" customHeight="1">
      <c r="D315" s="6"/>
      <c r="G315" s="6"/>
      <c r="L315" s="6"/>
      <c r="N315" s="10"/>
    </row>
    <row r="316" spans="4:14" ht="13" customHeight="1">
      <c r="D316" s="6"/>
      <c r="G316" s="6"/>
      <c r="L316" s="6"/>
      <c r="N316" s="10"/>
    </row>
    <row r="317" spans="4:14" ht="13" customHeight="1">
      <c r="D317" s="6"/>
      <c r="G317" s="6"/>
      <c r="L317" s="6"/>
      <c r="N317" s="10"/>
    </row>
    <row r="318" spans="4:14" ht="13" customHeight="1">
      <c r="D318" s="6"/>
      <c r="G318" s="6"/>
      <c r="L318" s="6"/>
      <c r="N318" s="10"/>
    </row>
    <row r="319" spans="4:14" ht="13" customHeight="1">
      <c r="D319" s="6"/>
      <c r="G319" s="6"/>
      <c r="L319" s="6"/>
      <c r="N319" s="10"/>
    </row>
    <row r="320" spans="4:14" ht="13" customHeight="1">
      <c r="D320" s="6"/>
      <c r="G320" s="6"/>
      <c r="L320" s="6"/>
      <c r="N320" s="10"/>
    </row>
    <row r="321" spans="4:14" ht="13" customHeight="1">
      <c r="D321" s="6"/>
      <c r="G321" s="6"/>
      <c r="L321" s="6"/>
      <c r="N321" s="10"/>
    </row>
    <row r="322" spans="4:14" ht="13" customHeight="1">
      <c r="D322" s="6"/>
      <c r="G322" s="6"/>
      <c r="L322" s="6"/>
      <c r="N322" s="10"/>
    </row>
    <row r="323" spans="4:14" ht="13" customHeight="1">
      <c r="D323" s="6"/>
      <c r="G323" s="6"/>
      <c r="L323" s="6"/>
      <c r="N323" s="10"/>
    </row>
    <row r="324" spans="4:14" ht="13" customHeight="1">
      <c r="D324" s="6"/>
      <c r="G324" s="6"/>
      <c r="L324" s="6"/>
      <c r="N324" s="10"/>
    </row>
    <row r="325" spans="4:14" ht="13" customHeight="1">
      <c r="D325" s="6"/>
      <c r="G325" s="6"/>
      <c r="L325" s="6"/>
      <c r="N325" s="10"/>
    </row>
    <row r="326" spans="4:14" ht="13" customHeight="1">
      <c r="D326" s="6"/>
      <c r="G326" s="6"/>
      <c r="L326" s="6"/>
      <c r="N326" s="10"/>
    </row>
    <row r="327" spans="4:14" ht="13" customHeight="1">
      <c r="D327" s="6"/>
      <c r="G327" s="6"/>
      <c r="L327" s="6"/>
      <c r="N327" s="10"/>
    </row>
    <row r="328" spans="4:14" ht="13" customHeight="1">
      <c r="D328" s="6"/>
      <c r="G328" s="6"/>
      <c r="L328" s="6"/>
      <c r="N328" s="10"/>
    </row>
    <row r="329" spans="4:14" ht="13" customHeight="1">
      <c r="D329" s="6"/>
      <c r="G329" s="6"/>
      <c r="L329" s="6"/>
      <c r="N329" s="10"/>
    </row>
    <row r="330" spans="4:14" ht="13" customHeight="1">
      <c r="D330" s="6"/>
      <c r="G330" s="6"/>
      <c r="L330" s="6"/>
      <c r="N330" s="10"/>
    </row>
    <row r="331" spans="4:14" ht="13" customHeight="1">
      <c r="D331" s="6"/>
      <c r="G331" s="6"/>
      <c r="L331" s="6"/>
      <c r="N331" s="10"/>
    </row>
    <row r="332" spans="4:14" ht="13" customHeight="1">
      <c r="D332" s="6"/>
      <c r="G332" s="6"/>
      <c r="L332" s="6"/>
      <c r="N332" s="10"/>
    </row>
    <row r="333" spans="4:14" ht="13" customHeight="1">
      <c r="D333" s="6"/>
      <c r="G333" s="6"/>
      <c r="L333" s="6"/>
      <c r="N333" s="10"/>
    </row>
    <row r="334" spans="4:14" ht="13" customHeight="1">
      <c r="D334" s="6"/>
      <c r="G334" s="6"/>
      <c r="L334" s="6"/>
      <c r="N334" s="10"/>
    </row>
    <row r="335" spans="4:14" ht="13" customHeight="1">
      <c r="D335" s="6"/>
      <c r="G335" s="6"/>
      <c r="L335" s="6"/>
      <c r="N335" s="10"/>
    </row>
    <row r="336" spans="4:14" ht="13" customHeight="1">
      <c r="D336" s="6"/>
      <c r="G336" s="6"/>
      <c r="L336" s="6"/>
      <c r="N336" s="10"/>
    </row>
    <row r="337" spans="4:14" ht="13" customHeight="1">
      <c r="D337" s="6"/>
      <c r="G337" s="6"/>
      <c r="L337" s="6"/>
      <c r="N337" s="10"/>
    </row>
    <row r="338" spans="4:14" ht="13" customHeight="1">
      <c r="D338" s="6"/>
      <c r="G338" s="6"/>
      <c r="L338" s="6"/>
      <c r="N338" s="10"/>
    </row>
    <row r="339" spans="4:14" ht="13" customHeight="1">
      <c r="D339" s="6"/>
      <c r="G339" s="6"/>
      <c r="L339" s="6"/>
      <c r="N339" s="10"/>
    </row>
    <row r="340" spans="4:14" ht="13" customHeight="1">
      <c r="D340" s="6"/>
      <c r="G340" s="6"/>
      <c r="L340" s="6"/>
      <c r="N340" s="10"/>
    </row>
    <row r="341" spans="4:14" ht="13" customHeight="1">
      <c r="D341" s="6"/>
      <c r="G341" s="6"/>
      <c r="L341" s="6"/>
      <c r="N341" s="10"/>
    </row>
    <row r="342" spans="4:14" ht="13" customHeight="1">
      <c r="D342" s="6"/>
      <c r="G342" s="6"/>
      <c r="L342" s="6"/>
      <c r="N342" s="10"/>
    </row>
    <row r="343" spans="4:14" ht="13" customHeight="1">
      <c r="D343" s="6"/>
      <c r="G343" s="6"/>
      <c r="L343" s="6"/>
      <c r="N343" s="10"/>
    </row>
    <row r="344" spans="4:14" ht="13" customHeight="1">
      <c r="D344" s="6"/>
      <c r="G344" s="6"/>
      <c r="L344" s="6"/>
      <c r="N344" s="10"/>
    </row>
    <row r="345" spans="4:14" ht="13" customHeight="1">
      <c r="D345" s="6"/>
      <c r="G345" s="6"/>
      <c r="L345" s="6"/>
      <c r="N345" s="10"/>
    </row>
    <row r="346" spans="4:14" ht="13" customHeight="1">
      <c r="D346" s="6"/>
      <c r="G346" s="6"/>
      <c r="L346" s="6"/>
      <c r="N346" s="10"/>
    </row>
    <row r="347" spans="4:14" ht="13" customHeight="1">
      <c r="D347" s="6"/>
      <c r="G347" s="6"/>
      <c r="L347" s="6"/>
      <c r="N347" s="10"/>
    </row>
    <row r="348" spans="4:14" ht="13" customHeight="1">
      <c r="D348" s="6"/>
      <c r="G348" s="6"/>
      <c r="L348" s="6"/>
      <c r="N348" s="10"/>
    </row>
    <row r="349" spans="4:14" ht="13" customHeight="1">
      <c r="D349" s="6"/>
      <c r="G349" s="6"/>
      <c r="L349" s="6"/>
      <c r="N349" s="10"/>
    </row>
    <row r="350" spans="4:14" ht="13" customHeight="1">
      <c r="D350" s="6"/>
      <c r="G350" s="6"/>
      <c r="L350" s="6"/>
      <c r="N350" s="10"/>
    </row>
    <row r="351" spans="4:14" ht="13" customHeight="1">
      <c r="D351" s="6"/>
      <c r="G351" s="6"/>
      <c r="L351" s="6"/>
      <c r="N351" s="10"/>
    </row>
    <row r="352" spans="4:14" ht="13" customHeight="1">
      <c r="D352" s="6"/>
      <c r="G352" s="6"/>
      <c r="L352" s="6"/>
      <c r="N352" s="10"/>
    </row>
    <row r="353" spans="4:14" ht="13" customHeight="1">
      <c r="D353" s="6"/>
      <c r="G353" s="6"/>
      <c r="L353" s="6"/>
      <c r="N353" s="10"/>
    </row>
    <row r="354" spans="4:14" ht="13" customHeight="1">
      <c r="D354" s="6"/>
      <c r="G354" s="6"/>
      <c r="L354" s="6"/>
      <c r="N354" s="10"/>
    </row>
    <row r="355" spans="4:14" ht="13" customHeight="1">
      <c r="D355" s="6"/>
      <c r="G355" s="6"/>
      <c r="L355" s="6"/>
      <c r="N355" s="10"/>
    </row>
    <row r="356" spans="4:14" ht="13" customHeight="1">
      <c r="D356" s="6"/>
      <c r="G356" s="6"/>
      <c r="L356" s="6"/>
      <c r="N356" s="10"/>
    </row>
    <row r="357" spans="4:14" ht="13" customHeight="1">
      <c r="D357" s="6"/>
      <c r="G357" s="6"/>
      <c r="L357" s="6"/>
      <c r="N357" s="10"/>
    </row>
    <row r="358" spans="4:14" ht="13" customHeight="1">
      <c r="D358" s="6"/>
      <c r="G358" s="6"/>
      <c r="L358" s="6"/>
      <c r="N358" s="10"/>
    </row>
    <row r="359" spans="4:14" ht="13" customHeight="1">
      <c r="D359" s="6"/>
      <c r="G359" s="6"/>
      <c r="L359" s="6"/>
      <c r="N359" s="10"/>
    </row>
    <row r="360" spans="4:14" ht="13" customHeight="1">
      <c r="D360" s="6"/>
      <c r="G360" s="6"/>
      <c r="L360" s="6"/>
      <c r="N360" s="10"/>
    </row>
    <row r="361" spans="4:14" ht="13" customHeight="1">
      <c r="D361" s="6"/>
      <c r="G361" s="6"/>
      <c r="L361" s="6"/>
      <c r="N361" s="10"/>
    </row>
    <row r="362" spans="4:14" ht="13" customHeight="1">
      <c r="D362" s="6"/>
      <c r="G362" s="6"/>
      <c r="L362" s="6"/>
      <c r="N362" s="10"/>
    </row>
    <row r="363" spans="4:14" ht="13" customHeight="1">
      <c r="D363" s="6"/>
      <c r="G363" s="6"/>
      <c r="L363" s="6"/>
      <c r="N363" s="10"/>
    </row>
    <row r="364" spans="4:14" ht="13" customHeight="1">
      <c r="D364" s="6"/>
      <c r="G364" s="6"/>
      <c r="L364" s="6"/>
      <c r="N364" s="10"/>
    </row>
    <row r="365" spans="4:14" ht="13" customHeight="1">
      <c r="D365" s="6"/>
      <c r="G365" s="6"/>
      <c r="L365" s="6"/>
      <c r="N365" s="10"/>
    </row>
    <row r="366" spans="4:14" ht="13" customHeight="1">
      <c r="D366" s="6"/>
      <c r="G366" s="6"/>
      <c r="L366" s="6"/>
      <c r="N366" s="10"/>
    </row>
    <row r="367" spans="4:14" ht="13" customHeight="1">
      <c r="D367" s="6"/>
      <c r="G367" s="6"/>
      <c r="L367" s="6"/>
      <c r="N367" s="10"/>
    </row>
    <row r="368" spans="4:14" ht="13" customHeight="1">
      <c r="D368" s="6"/>
      <c r="G368" s="6"/>
      <c r="L368" s="6"/>
      <c r="N368" s="10"/>
    </row>
    <row r="369" spans="4:14" ht="13" customHeight="1">
      <c r="D369" s="6"/>
      <c r="G369" s="6"/>
      <c r="L369" s="6"/>
      <c r="N369" s="10"/>
    </row>
    <row r="370" spans="4:14" ht="13" customHeight="1">
      <c r="D370" s="6"/>
      <c r="G370" s="6"/>
      <c r="L370" s="6"/>
      <c r="N370" s="10"/>
    </row>
    <row r="371" spans="4:14" ht="13" customHeight="1">
      <c r="D371" s="6"/>
      <c r="G371" s="6"/>
      <c r="L371" s="6"/>
      <c r="N371" s="10"/>
    </row>
    <row r="372" spans="4:14" ht="13" customHeight="1">
      <c r="D372" s="6"/>
      <c r="G372" s="6"/>
      <c r="L372" s="6"/>
      <c r="N372" s="10"/>
    </row>
    <row r="373" spans="4:14" ht="13" customHeight="1">
      <c r="D373" s="6"/>
      <c r="G373" s="6"/>
      <c r="L373" s="6"/>
      <c r="N373" s="10"/>
    </row>
    <row r="374" spans="4:14" ht="13" customHeight="1">
      <c r="D374" s="6"/>
      <c r="G374" s="6"/>
      <c r="L374" s="6"/>
      <c r="N374" s="10"/>
    </row>
    <row r="375" spans="4:14" ht="13" customHeight="1">
      <c r="D375" s="6"/>
      <c r="G375" s="6"/>
      <c r="L375" s="6"/>
      <c r="N375" s="10"/>
    </row>
    <row r="376" spans="4:14" ht="13" customHeight="1">
      <c r="D376" s="6"/>
      <c r="G376" s="6"/>
      <c r="L376" s="6"/>
      <c r="N376" s="10"/>
    </row>
    <row r="377" spans="4:14" ht="13" customHeight="1">
      <c r="D377" s="6"/>
      <c r="G377" s="6"/>
      <c r="L377" s="6"/>
      <c r="N377" s="10"/>
    </row>
    <row r="378" spans="4:14" ht="13" customHeight="1">
      <c r="D378" s="6"/>
      <c r="G378" s="6"/>
      <c r="L378" s="6"/>
      <c r="N378" s="10"/>
    </row>
    <row r="379" spans="4:14" ht="13" customHeight="1">
      <c r="D379" s="6"/>
      <c r="G379" s="6"/>
      <c r="L379" s="6"/>
      <c r="N379" s="10"/>
    </row>
    <row r="380" spans="4:14" ht="13" customHeight="1">
      <c r="D380" s="6"/>
      <c r="G380" s="6"/>
      <c r="L380" s="6"/>
      <c r="N380" s="10"/>
    </row>
    <row r="381" spans="4:14" ht="13" customHeight="1">
      <c r="D381" s="6"/>
      <c r="G381" s="6"/>
      <c r="L381" s="6"/>
      <c r="N381" s="10"/>
    </row>
    <row r="382" spans="4:14" ht="13" customHeight="1">
      <c r="D382" s="6"/>
      <c r="G382" s="6"/>
      <c r="L382" s="6"/>
      <c r="N382" s="10"/>
    </row>
    <row r="383" spans="4:14" ht="13" customHeight="1">
      <c r="D383" s="6"/>
      <c r="G383" s="6"/>
      <c r="L383" s="6"/>
      <c r="N383" s="10"/>
    </row>
    <row r="384" spans="4:14" ht="13" customHeight="1">
      <c r="D384" s="6"/>
      <c r="G384" s="6"/>
      <c r="L384" s="6"/>
      <c r="N384" s="10"/>
    </row>
    <row r="385" spans="4:14" ht="13" customHeight="1">
      <c r="D385" s="6"/>
      <c r="G385" s="6"/>
      <c r="L385" s="6"/>
      <c r="N385" s="10"/>
    </row>
    <row r="386" spans="4:14" ht="13" customHeight="1">
      <c r="D386" s="6"/>
      <c r="G386" s="6"/>
      <c r="L386" s="6"/>
      <c r="N386" s="10"/>
    </row>
    <row r="387" spans="4:14" ht="13" customHeight="1">
      <c r="D387" s="6"/>
      <c r="G387" s="6"/>
      <c r="L387" s="6"/>
      <c r="N387" s="10"/>
    </row>
    <row r="388" spans="4:14" ht="13" customHeight="1">
      <c r="D388" s="6"/>
      <c r="G388" s="6"/>
      <c r="L388" s="6"/>
      <c r="N388" s="10"/>
    </row>
    <row r="389" spans="4:14" ht="13" customHeight="1">
      <c r="D389" s="6"/>
      <c r="G389" s="6"/>
      <c r="L389" s="6"/>
      <c r="N389" s="10"/>
    </row>
    <row r="390" spans="4:14" ht="13" customHeight="1">
      <c r="D390" s="6"/>
      <c r="G390" s="6"/>
      <c r="L390" s="6"/>
      <c r="N390" s="10"/>
    </row>
    <row r="391" spans="4:14" ht="13" customHeight="1">
      <c r="D391" s="6"/>
      <c r="G391" s="6"/>
      <c r="L391" s="6"/>
      <c r="N391" s="10"/>
    </row>
    <row r="392" spans="4:14" ht="13" customHeight="1">
      <c r="D392" s="6"/>
      <c r="G392" s="6"/>
      <c r="L392" s="6"/>
      <c r="N392" s="10"/>
    </row>
    <row r="393" spans="4:14" ht="13" customHeight="1">
      <c r="D393" s="6"/>
      <c r="G393" s="6"/>
      <c r="L393" s="6"/>
      <c r="N393" s="10"/>
    </row>
    <row r="394" spans="4:14" ht="13" customHeight="1">
      <c r="D394" s="6"/>
      <c r="G394" s="6"/>
      <c r="L394" s="6"/>
      <c r="N394" s="10"/>
    </row>
    <row r="395" spans="4:14" ht="13" customHeight="1">
      <c r="D395" s="6"/>
      <c r="G395" s="6"/>
      <c r="L395" s="6"/>
      <c r="N395" s="10"/>
    </row>
    <row r="396" spans="4:14" ht="13" customHeight="1">
      <c r="D396" s="6"/>
      <c r="G396" s="6"/>
      <c r="L396" s="6"/>
      <c r="N396" s="10"/>
    </row>
    <row r="397" spans="4:14" ht="13" customHeight="1">
      <c r="D397" s="6"/>
      <c r="G397" s="6"/>
      <c r="L397" s="6"/>
      <c r="N397" s="10"/>
    </row>
    <row r="398" spans="4:14" ht="13" customHeight="1">
      <c r="D398" s="6"/>
      <c r="G398" s="6"/>
      <c r="L398" s="6"/>
      <c r="N398" s="10"/>
    </row>
    <row r="399" spans="4:14" ht="13" customHeight="1">
      <c r="D399" s="6"/>
      <c r="G399" s="6"/>
      <c r="L399" s="6"/>
      <c r="N399" s="10"/>
    </row>
    <row r="400" spans="4:14" ht="13" customHeight="1">
      <c r="D400" s="6"/>
      <c r="G400" s="6"/>
      <c r="L400" s="6"/>
      <c r="N400" s="10"/>
    </row>
    <row r="401" spans="4:14" ht="13" customHeight="1">
      <c r="D401" s="6"/>
      <c r="G401" s="6"/>
      <c r="L401" s="6"/>
      <c r="N401" s="10"/>
    </row>
    <row r="402" spans="4:14" ht="13" customHeight="1">
      <c r="D402" s="6"/>
      <c r="G402" s="6"/>
      <c r="L402" s="6"/>
      <c r="N402" s="10"/>
    </row>
    <row r="403" spans="4:14" ht="13" customHeight="1">
      <c r="D403" s="6"/>
      <c r="G403" s="6"/>
      <c r="L403" s="6"/>
      <c r="N403" s="10"/>
    </row>
    <row r="404" spans="4:14" ht="13" customHeight="1">
      <c r="D404" s="6"/>
      <c r="G404" s="6"/>
      <c r="L404" s="6"/>
      <c r="N404" s="10"/>
    </row>
    <row r="405" spans="4:14" ht="13" customHeight="1">
      <c r="D405" s="6"/>
      <c r="G405" s="6"/>
      <c r="L405" s="6"/>
      <c r="N405" s="10"/>
    </row>
    <row r="406" spans="4:14" ht="13" customHeight="1">
      <c r="D406" s="6"/>
      <c r="G406" s="6"/>
      <c r="L406" s="6"/>
      <c r="N406" s="10"/>
    </row>
    <row r="407" spans="4:14" ht="13" customHeight="1">
      <c r="D407" s="6"/>
      <c r="G407" s="6"/>
      <c r="L407" s="6"/>
      <c r="N407" s="10"/>
    </row>
    <row r="408" spans="4:14" ht="13" customHeight="1">
      <c r="D408" s="6"/>
      <c r="G408" s="6"/>
      <c r="L408" s="6"/>
      <c r="N408" s="10"/>
    </row>
    <row r="409" spans="4:14" ht="13" customHeight="1">
      <c r="D409" s="6"/>
      <c r="G409" s="6"/>
      <c r="L409" s="6"/>
      <c r="N409" s="10"/>
    </row>
    <row r="410" spans="4:14" ht="13" customHeight="1">
      <c r="D410" s="6"/>
      <c r="G410" s="6"/>
      <c r="L410" s="6"/>
      <c r="N410" s="10"/>
    </row>
    <row r="411" spans="4:14" ht="13" customHeight="1">
      <c r="D411" s="6"/>
      <c r="G411" s="6"/>
      <c r="L411" s="6"/>
      <c r="N411" s="10"/>
    </row>
    <row r="412" spans="4:14" ht="13" customHeight="1">
      <c r="D412" s="6"/>
      <c r="G412" s="6"/>
      <c r="L412" s="6"/>
      <c r="N412" s="10"/>
    </row>
    <row r="413" spans="4:14" ht="13" customHeight="1">
      <c r="D413" s="6"/>
      <c r="G413" s="6"/>
      <c r="L413" s="6"/>
      <c r="N413" s="10"/>
    </row>
    <row r="414" spans="4:14" ht="13" customHeight="1">
      <c r="D414" s="6"/>
      <c r="G414" s="6"/>
      <c r="L414" s="6"/>
      <c r="N414" s="10"/>
    </row>
    <row r="415" spans="4:14" ht="13" customHeight="1">
      <c r="D415" s="6"/>
      <c r="G415" s="6"/>
      <c r="L415" s="6"/>
      <c r="N415" s="10"/>
    </row>
    <row r="416" spans="4:14" ht="13" customHeight="1">
      <c r="D416" s="6"/>
      <c r="G416" s="6"/>
      <c r="L416" s="6"/>
      <c r="N416" s="10"/>
    </row>
    <row r="417" spans="4:14" ht="13" customHeight="1">
      <c r="D417" s="6"/>
      <c r="G417" s="6"/>
      <c r="L417" s="6"/>
      <c r="N417" s="10"/>
    </row>
    <row r="418" spans="4:14" ht="13" customHeight="1">
      <c r="D418" s="6"/>
      <c r="G418" s="6"/>
      <c r="L418" s="6"/>
      <c r="N418" s="10"/>
    </row>
    <row r="419" spans="4:14" ht="13" customHeight="1">
      <c r="D419" s="6"/>
      <c r="G419" s="6"/>
      <c r="L419" s="6"/>
      <c r="N419" s="10"/>
    </row>
    <row r="420" spans="4:14" ht="13" customHeight="1">
      <c r="D420" s="6"/>
      <c r="G420" s="6"/>
      <c r="L420" s="6"/>
      <c r="N420" s="10"/>
    </row>
    <row r="421" spans="4:14" ht="13" customHeight="1">
      <c r="D421" s="6"/>
      <c r="G421" s="6"/>
      <c r="L421" s="6"/>
      <c r="N421" s="10"/>
    </row>
    <row r="422" spans="4:14" ht="13" customHeight="1">
      <c r="D422" s="6"/>
      <c r="G422" s="6"/>
      <c r="L422" s="6"/>
      <c r="N422" s="10"/>
    </row>
    <row r="423" spans="4:14" ht="13" customHeight="1">
      <c r="D423" s="6"/>
      <c r="G423" s="6"/>
      <c r="L423" s="6"/>
      <c r="N423" s="10"/>
    </row>
    <row r="424" spans="4:14" ht="13" customHeight="1">
      <c r="D424" s="6"/>
      <c r="G424" s="6"/>
      <c r="L424" s="6"/>
      <c r="N424" s="10"/>
    </row>
    <row r="425" spans="4:14" ht="13" customHeight="1">
      <c r="D425" s="6"/>
      <c r="G425" s="6"/>
      <c r="L425" s="6"/>
      <c r="N425" s="10"/>
    </row>
    <row r="426" spans="4:14" ht="13" customHeight="1">
      <c r="D426" s="6"/>
      <c r="G426" s="6"/>
      <c r="L426" s="6"/>
      <c r="N426" s="10"/>
    </row>
    <row r="427" spans="4:14" ht="13" customHeight="1">
      <c r="D427" s="6"/>
      <c r="G427" s="6"/>
      <c r="L427" s="6"/>
      <c r="N427" s="10"/>
    </row>
    <row r="428" spans="4:14" ht="13" customHeight="1">
      <c r="D428" s="6"/>
      <c r="G428" s="6"/>
      <c r="L428" s="6"/>
      <c r="N428" s="10"/>
    </row>
    <row r="429" spans="4:14" ht="13" customHeight="1">
      <c r="D429" s="6"/>
      <c r="G429" s="6"/>
      <c r="L429" s="6"/>
      <c r="N429" s="10"/>
    </row>
    <row r="430" spans="4:14" ht="13" customHeight="1">
      <c r="D430" s="6"/>
      <c r="G430" s="6"/>
      <c r="L430" s="6"/>
      <c r="N430" s="10"/>
    </row>
    <row r="431" spans="4:14" ht="13" customHeight="1">
      <c r="D431" s="6"/>
      <c r="G431" s="6"/>
      <c r="L431" s="6"/>
      <c r="N431" s="10"/>
    </row>
    <row r="432" spans="4:14" ht="13" customHeight="1">
      <c r="D432" s="6"/>
      <c r="G432" s="6"/>
      <c r="L432" s="6"/>
      <c r="N432" s="10"/>
    </row>
    <row r="433" spans="4:14" ht="13" customHeight="1">
      <c r="D433" s="6"/>
      <c r="G433" s="6"/>
      <c r="L433" s="6"/>
      <c r="N433" s="10"/>
    </row>
    <row r="434" spans="4:14" ht="13" customHeight="1">
      <c r="D434" s="6"/>
      <c r="G434" s="6"/>
      <c r="L434" s="6"/>
      <c r="N434" s="10"/>
    </row>
    <row r="435" spans="4:14" ht="13" customHeight="1">
      <c r="D435" s="6"/>
      <c r="G435" s="6"/>
      <c r="L435" s="6"/>
      <c r="N435" s="10"/>
    </row>
    <row r="436" spans="4:14" ht="13" customHeight="1">
      <c r="D436" s="6"/>
      <c r="G436" s="6"/>
      <c r="L436" s="6"/>
      <c r="N436" s="10"/>
    </row>
    <row r="437" spans="4:14" ht="13" customHeight="1">
      <c r="D437" s="6"/>
      <c r="G437" s="6"/>
      <c r="L437" s="6"/>
      <c r="N437" s="10"/>
    </row>
    <row r="438" spans="4:14" ht="13" customHeight="1">
      <c r="D438" s="6"/>
      <c r="G438" s="6"/>
      <c r="L438" s="6"/>
      <c r="N438" s="10"/>
    </row>
    <row r="439" spans="4:14" ht="13" customHeight="1">
      <c r="D439" s="6"/>
      <c r="G439" s="6"/>
      <c r="L439" s="6"/>
      <c r="N439" s="10"/>
    </row>
    <row r="440" spans="4:14" ht="13" customHeight="1">
      <c r="D440" s="6"/>
      <c r="G440" s="6"/>
      <c r="L440" s="6"/>
      <c r="N440" s="10"/>
    </row>
    <row r="441" spans="4:14" ht="13" customHeight="1">
      <c r="D441" s="6"/>
      <c r="G441" s="6"/>
      <c r="L441" s="6"/>
      <c r="N441" s="10"/>
    </row>
    <row r="442" spans="4:14" ht="13" customHeight="1">
      <c r="D442" s="6"/>
      <c r="G442" s="6"/>
      <c r="L442" s="6"/>
      <c r="N442" s="10"/>
    </row>
    <row r="443" spans="4:14" ht="13" customHeight="1">
      <c r="D443" s="6"/>
      <c r="G443" s="6"/>
      <c r="L443" s="6"/>
      <c r="N443" s="10"/>
    </row>
    <row r="444" spans="4:14" ht="13" customHeight="1">
      <c r="D444" s="6"/>
      <c r="G444" s="6"/>
      <c r="L444" s="6"/>
      <c r="N444" s="10"/>
    </row>
    <row r="445" spans="4:14" ht="13" customHeight="1">
      <c r="D445" s="6"/>
      <c r="G445" s="6"/>
      <c r="L445" s="6"/>
      <c r="N445" s="10"/>
    </row>
    <row r="446" spans="4:14" ht="13" customHeight="1">
      <c r="D446" s="6"/>
      <c r="G446" s="6"/>
      <c r="L446" s="6"/>
      <c r="N446" s="10"/>
    </row>
    <row r="447" spans="4:14" ht="13" customHeight="1">
      <c r="D447" s="6"/>
      <c r="G447" s="6"/>
      <c r="L447" s="6"/>
      <c r="N447" s="10"/>
    </row>
    <row r="448" spans="4:14" ht="13" customHeight="1">
      <c r="D448" s="6"/>
      <c r="G448" s="6"/>
      <c r="L448" s="6"/>
      <c r="N448" s="10"/>
    </row>
    <row r="449" spans="4:14" ht="13" customHeight="1">
      <c r="D449" s="6"/>
      <c r="G449" s="6"/>
      <c r="L449" s="6"/>
      <c r="N449" s="10"/>
    </row>
    <row r="450" spans="4:14" ht="13" customHeight="1">
      <c r="D450" s="6"/>
      <c r="G450" s="6"/>
      <c r="L450" s="6"/>
      <c r="N450" s="10"/>
    </row>
    <row r="451" spans="4:14" ht="13" customHeight="1">
      <c r="D451" s="6"/>
      <c r="G451" s="6"/>
      <c r="L451" s="6"/>
      <c r="N451" s="10"/>
    </row>
    <row r="452" spans="4:14" ht="13" customHeight="1">
      <c r="D452" s="6"/>
      <c r="G452" s="6"/>
      <c r="L452" s="6"/>
      <c r="N452" s="10"/>
    </row>
    <row r="453" spans="4:14" ht="13" customHeight="1">
      <c r="D453" s="6"/>
      <c r="G453" s="6"/>
      <c r="L453" s="6"/>
      <c r="N453" s="10"/>
    </row>
    <row r="454" spans="4:14" ht="13" customHeight="1">
      <c r="D454" s="6"/>
      <c r="G454" s="6"/>
      <c r="L454" s="6"/>
      <c r="N454" s="10"/>
    </row>
    <row r="455" spans="4:14" ht="13" customHeight="1">
      <c r="D455" s="6"/>
      <c r="G455" s="6"/>
      <c r="L455" s="6"/>
      <c r="N455" s="10"/>
    </row>
    <row r="456" spans="4:14" ht="13" customHeight="1">
      <c r="D456" s="6"/>
      <c r="G456" s="6"/>
      <c r="L456" s="6"/>
      <c r="N456" s="10"/>
    </row>
    <row r="457" spans="4:14" ht="13" customHeight="1">
      <c r="D457" s="6"/>
      <c r="G457" s="6"/>
      <c r="L457" s="6"/>
      <c r="N457" s="10"/>
    </row>
    <row r="458" spans="4:14" ht="13" customHeight="1">
      <c r="D458" s="6"/>
      <c r="G458" s="6"/>
      <c r="L458" s="6"/>
      <c r="N458" s="10"/>
    </row>
    <row r="459" spans="4:14" ht="13" customHeight="1">
      <c r="D459" s="6"/>
      <c r="G459" s="6"/>
      <c r="L459" s="6"/>
      <c r="N459" s="10"/>
    </row>
    <row r="460" spans="4:14" ht="13" customHeight="1">
      <c r="D460" s="6"/>
      <c r="G460" s="6"/>
      <c r="L460" s="6"/>
      <c r="N460" s="10"/>
    </row>
    <row r="461" spans="4:14" ht="13" customHeight="1">
      <c r="D461" s="6"/>
      <c r="G461" s="6"/>
      <c r="L461" s="6"/>
      <c r="N461" s="10"/>
    </row>
    <row r="462" spans="4:14" ht="13" customHeight="1">
      <c r="D462" s="6"/>
      <c r="G462" s="6"/>
      <c r="L462" s="6"/>
      <c r="N462" s="10"/>
    </row>
    <row r="463" spans="4:14" ht="13" customHeight="1">
      <c r="D463" s="6"/>
      <c r="G463" s="6"/>
      <c r="L463" s="6"/>
      <c r="N463" s="10"/>
    </row>
    <row r="464" spans="4:14" ht="13" customHeight="1">
      <c r="D464" s="6"/>
      <c r="G464" s="6"/>
      <c r="L464" s="6"/>
      <c r="N464" s="10"/>
    </row>
    <row r="465" spans="4:14" ht="13" customHeight="1">
      <c r="D465" s="6"/>
      <c r="G465" s="6"/>
      <c r="L465" s="6"/>
      <c r="N465" s="10"/>
    </row>
    <row r="466" spans="4:14" ht="13" customHeight="1">
      <c r="D466" s="6"/>
      <c r="G466" s="6"/>
      <c r="L466" s="6"/>
      <c r="N466" s="10"/>
    </row>
    <row r="467" spans="4:14" ht="13" customHeight="1">
      <c r="D467" s="6"/>
      <c r="G467" s="6"/>
      <c r="L467" s="6"/>
      <c r="N467" s="10"/>
    </row>
    <row r="468" spans="4:14" ht="13" customHeight="1">
      <c r="D468" s="6"/>
      <c r="G468" s="6"/>
      <c r="L468" s="6"/>
      <c r="N468" s="10"/>
    </row>
    <row r="469" spans="4:14" ht="13" customHeight="1">
      <c r="D469" s="6"/>
      <c r="G469" s="6"/>
      <c r="L469" s="6"/>
      <c r="N469" s="10"/>
    </row>
    <row r="470" spans="4:14" ht="13" customHeight="1">
      <c r="D470" s="6"/>
      <c r="G470" s="6"/>
      <c r="L470" s="6"/>
      <c r="N470" s="10"/>
    </row>
    <row r="471" spans="4:14" ht="13" customHeight="1">
      <c r="D471" s="6"/>
      <c r="G471" s="6"/>
      <c r="L471" s="6"/>
      <c r="N471" s="10"/>
    </row>
    <row r="472" spans="4:14" ht="13" customHeight="1">
      <c r="D472" s="6"/>
      <c r="G472" s="6"/>
      <c r="L472" s="6"/>
      <c r="N472" s="10"/>
    </row>
    <row r="473" spans="4:14" ht="13" customHeight="1">
      <c r="D473" s="6"/>
      <c r="G473" s="6"/>
      <c r="L473" s="6"/>
      <c r="N473" s="10"/>
    </row>
    <row r="474" spans="4:14" ht="13" customHeight="1">
      <c r="D474" s="6"/>
      <c r="G474" s="6"/>
      <c r="L474" s="6"/>
      <c r="N474" s="10"/>
    </row>
    <row r="475" spans="4:14" ht="13" customHeight="1">
      <c r="D475" s="6"/>
      <c r="G475" s="6"/>
      <c r="L475" s="6"/>
      <c r="N475" s="10"/>
    </row>
    <row r="476" spans="4:14" ht="13" customHeight="1">
      <c r="D476" s="6"/>
      <c r="G476" s="6"/>
      <c r="L476" s="6"/>
      <c r="N476" s="10"/>
    </row>
    <row r="477" spans="4:14" ht="13" customHeight="1">
      <c r="D477" s="6"/>
      <c r="G477" s="6"/>
      <c r="L477" s="6"/>
      <c r="N477" s="10"/>
    </row>
    <row r="478" spans="4:14" ht="13" customHeight="1">
      <c r="D478" s="6"/>
      <c r="G478" s="6"/>
      <c r="L478" s="6"/>
      <c r="N478" s="10"/>
    </row>
    <row r="479" spans="4:14" ht="13" customHeight="1">
      <c r="D479" s="6"/>
      <c r="G479" s="6"/>
      <c r="L479" s="6"/>
      <c r="N479" s="10"/>
    </row>
    <row r="480" spans="4:14" ht="13" customHeight="1">
      <c r="D480" s="6"/>
      <c r="G480" s="6"/>
      <c r="L480" s="6"/>
      <c r="N480" s="10"/>
    </row>
    <row r="481" spans="4:14" ht="13" customHeight="1">
      <c r="D481" s="6"/>
      <c r="G481" s="6"/>
      <c r="L481" s="6"/>
      <c r="N481" s="10"/>
    </row>
    <row r="482" spans="4:14" ht="13" customHeight="1">
      <c r="D482" s="6"/>
      <c r="G482" s="6"/>
      <c r="L482" s="6"/>
      <c r="N482" s="10"/>
    </row>
    <row r="483" spans="4:14" ht="13" customHeight="1">
      <c r="D483" s="6"/>
      <c r="G483" s="6"/>
      <c r="L483" s="6"/>
      <c r="N483" s="10"/>
    </row>
    <row r="484" spans="4:14" ht="13" customHeight="1">
      <c r="D484" s="6"/>
      <c r="G484" s="6"/>
      <c r="L484" s="6"/>
      <c r="N484" s="10"/>
    </row>
    <row r="485" spans="4:14" ht="13" customHeight="1">
      <c r="D485" s="6"/>
      <c r="G485" s="6"/>
      <c r="L485" s="6"/>
      <c r="N485" s="10"/>
    </row>
    <row r="486" spans="4:14" ht="13" customHeight="1">
      <c r="D486" s="6"/>
      <c r="G486" s="6"/>
      <c r="L486" s="6"/>
      <c r="N486" s="10"/>
    </row>
    <row r="487" spans="4:14" ht="13" customHeight="1">
      <c r="D487" s="6"/>
      <c r="G487" s="6"/>
      <c r="L487" s="6"/>
      <c r="N487" s="10"/>
    </row>
    <row r="488" spans="4:14" ht="13" customHeight="1">
      <c r="D488" s="6"/>
      <c r="G488" s="6"/>
      <c r="L488" s="6"/>
      <c r="N488" s="10"/>
    </row>
    <row r="489" spans="4:14" ht="13" customHeight="1">
      <c r="D489" s="6"/>
      <c r="G489" s="6"/>
      <c r="L489" s="6"/>
      <c r="N489" s="10"/>
    </row>
    <row r="490" spans="4:14" ht="13" customHeight="1">
      <c r="D490" s="6"/>
      <c r="G490" s="6"/>
      <c r="L490" s="6"/>
      <c r="N490" s="10"/>
    </row>
    <row r="491" spans="4:14" ht="13" customHeight="1">
      <c r="D491" s="6"/>
      <c r="G491" s="6"/>
      <c r="L491" s="6"/>
      <c r="N491" s="10"/>
    </row>
    <row r="492" spans="4:14" ht="13" customHeight="1">
      <c r="D492" s="6"/>
      <c r="G492" s="6"/>
      <c r="L492" s="6"/>
      <c r="N492" s="10"/>
    </row>
    <row r="493" spans="4:14" ht="13" customHeight="1">
      <c r="D493" s="6"/>
      <c r="G493" s="6"/>
      <c r="L493" s="6"/>
      <c r="N493" s="10"/>
    </row>
    <row r="494" spans="4:14" ht="13" customHeight="1">
      <c r="D494" s="6"/>
      <c r="G494" s="6"/>
      <c r="L494" s="6"/>
      <c r="N494" s="10"/>
    </row>
    <row r="495" spans="4:14" ht="13" customHeight="1">
      <c r="D495" s="6"/>
      <c r="G495" s="6"/>
      <c r="L495" s="6"/>
      <c r="N495" s="10"/>
    </row>
    <row r="496" spans="4:14" ht="13" customHeight="1">
      <c r="D496" s="6"/>
      <c r="G496" s="6"/>
      <c r="L496" s="6"/>
      <c r="N496" s="10"/>
    </row>
    <row r="497" spans="4:14" ht="13" customHeight="1">
      <c r="D497" s="6"/>
      <c r="G497" s="6"/>
      <c r="L497" s="6"/>
      <c r="N497" s="10"/>
    </row>
    <row r="498" spans="4:14" ht="13" customHeight="1">
      <c r="D498" s="6"/>
      <c r="G498" s="6"/>
      <c r="L498" s="6"/>
      <c r="N498" s="10"/>
    </row>
    <row r="499" spans="4:14" ht="13" customHeight="1">
      <c r="D499" s="6"/>
      <c r="G499" s="6"/>
      <c r="L499" s="6"/>
      <c r="N499" s="10"/>
    </row>
    <row r="500" spans="4:14" ht="13" customHeight="1">
      <c r="D500" s="6"/>
      <c r="G500" s="6"/>
      <c r="L500" s="6"/>
      <c r="N500" s="10"/>
    </row>
    <row r="501" spans="4:14" ht="13" customHeight="1">
      <c r="D501" s="6"/>
      <c r="G501" s="6"/>
      <c r="L501" s="6"/>
      <c r="N501" s="10"/>
    </row>
    <row r="502" spans="4:14" ht="13" customHeight="1">
      <c r="D502" s="6"/>
      <c r="G502" s="6"/>
      <c r="L502" s="6"/>
      <c r="N502" s="10"/>
    </row>
  </sheetData>
  <autoFilter ref="A1:Z197" xr:uid="{00000000-0001-0000-0000-000000000000}">
    <filterColumn colId="2">
      <filters>
        <filter val="Соединитель импоста 35 мм (2160.2163)"/>
        <filter val="Сухарь 32,5 мм (2115) новый дизайн"/>
      </filters>
    </filterColumn>
  </autoFilter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230</v>
      </c>
      <c r="B1" s="1" t="s">
        <v>231</v>
      </c>
      <c r="C1" s="1" t="s">
        <v>404</v>
      </c>
      <c r="D1" s="1" t="s">
        <v>405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237</v>
      </c>
      <c r="J1" s="1" t="s">
        <v>238</v>
      </c>
      <c r="K1" s="1" t="s">
        <v>394</v>
      </c>
      <c r="L1" s="1" t="s">
        <v>393</v>
      </c>
      <c r="M1" s="1" t="s">
        <v>161</v>
      </c>
      <c r="N1" s="1" t="s">
        <v>396</v>
      </c>
      <c r="O1" s="1"/>
    </row>
    <row r="2" spans="1:15" ht="15.75" customHeight="1">
      <c r="A2" s="5" t="s">
        <v>239</v>
      </c>
      <c r="B2" s="7">
        <v>9000</v>
      </c>
      <c r="C2" s="9" t="s">
        <v>397</v>
      </c>
      <c r="D2" s="15">
        <f>2248</f>
        <v>2248</v>
      </c>
      <c r="E2" s="5" t="s">
        <v>241</v>
      </c>
      <c r="F2" s="5">
        <v>2000</v>
      </c>
      <c r="G2" s="5" t="s">
        <v>241</v>
      </c>
      <c r="H2" s="5">
        <v>10000</v>
      </c>
      <c r="I2" s="5" t="s">
        <v>391</v>
      </c>
      <c r="J2" s="5">
        <v>10000</v>
      </c>
      <c r="K2" s="5" t="s">
        <v>87</v>
      </c>
      <c r="L2" s="13">
        <v>4142</v>
      </c>
      <c r="M2" s="5" t="s">
        <v>241</v>
      </c>
      <c r="N2" s="13">
        <v>13025</v>
      </c>
      <c r="O2" s="9"/>
    </row>
    <row r="3" spans="1:15" ht="15.75" customHeight="1">
      <c r="A3" s="5" t="s">
        <v>242</v>
      </c>
      <c r="B3" s="7">
        <v>14000</v>
      </c>
      <c r="C3" s="9" t="s">
        <v>398</v>
      </c>
      <c r="D3" s="15">
        <f>4588</f>
        <v>4588</v>
      </c>
      <c r="E3" s="5" t="s">
        <v>243</v>
      </c>
      <c r="F3" s="5">
        <v>0</v>
      </c>
      <c r="G3" s="5" t="s">
        <v>243</v>
      </c>
      <c r="H3" s="5">
        <v>0</v>
      </c>
      <c r="I3" s="5" t="s">
        <v>243</v>
      </c>
      <c r="J3" s="5">
        <v>0</v>
      </c>
      <c r="K3" s="5" t="s">
        <v>150</v>
      </c>
      <c r="L3" s="13">
        <v>12977</v>
      </c>
      <c r="M3" s="5" t="s">
        <v>395</v>
      </c>
      <c r="N3" s="13">
        <v>0</v>
      </c>
      <c r="O3" s="9"/>
    </row>
    <row r="4" spans="1:15" ht="15.75" customHeight="1">
      <c r="A4" s="5" t="s">
        <v>244</v>
      </c>
      <c r="B4" s="7">
        <v>12000</v>
      </c>
      <c r="C4" s="7" t="s">
        <v>304</v>
      </c>
      <c r="D4" s="15"/>
      <c r="I4" s="9" t="s">
        <v>392</v>
      </c>
      <c r="J4">
        <v>12000</v>
      </c>
      <c r="K4" s="5" t="s">
        <v>177</v>
      </c>
      <c r="L4" s="13">
        <v>3531</v>
      </c>
      <c r="M4" s="5"/>
      <c r="N4" s="13"/>
      <c r="O4" s="9"/>
    </row>
    <row r="5" spans="1:15" ht="15.75" customHeight="1">
      <c r="A5" s="5" t="s">
        <v>245</v>
      </c>
      <c r="B5" s="7">
        <v>15000</v>
      </c>
      <c r="I5" s="9" t="s">
        <v>390</v>
      </c>
      <c r="J5">
        <v>15000</v>
      </c>
      <c r="K5" s="5" t="s">
        <v>202</v>
      </c>
      <c r="L5" s="13">
        <v>12977</v>
      </c>
      <c r="M5" s="9"/>
      <c r="N5" s="14"/>
    </row>
    <row r="6" spans="1:15" ht="15.75" customHeight="1">
      <c r="A6" s="5" t="s">
        <v>310</v>
      </c>
      <c r="B6" s="7">
        <v>4000</v>
      </c>
      <c r="C6" s="7"/>
      <c r="D6" s="7"/>
      <c r="K6" s="5" t="s">
        <v>220</v>
      </c>
      <c r="L6" s="13">
        <v>12977</v>
      </c>
      <c r="M6" s="9"/>
      <c r="N6" s="14"/>
    </row>
    <row r="7" spans="1:15" ht="15.75" customHeight="1">
      <c r="A7" s="5" t="s">
        <v>311</v>
      </c>
      <c r="B7" s="7">
        <v>6000</v>
      </c>
      <c r="C7" s="7"/>
      <c r="D7" s="7"/>
      <c r="K7" s="9" t="s">
        <v>355</v>
      </c>
      <c r="L7" s="14" t="s">
        <v>356</v>
      </c>
    </row>
    <row r="8" spans="1:15" ht="15.75" customHeight="1">
      <c r="A8" s="5" t="s">
        <v>312</v>
      </c>
      <c r="B8" s="7">
        <v>6000</v>
      </c>
      <c r="C8" s="7"/>
      <c r="D8" s="7"/>
      <c r="K8" s="5" t="s">
        <v>243</v>
      </c>
      <c r="L8" s="13">
        <v>0</v>
      </c>
    </row>
    <row r="9" spans="1:15" ht="15.75" customHeight="1">
      <c r="A9" s="5" t="s">
        <v>313</v>
      </c>
      <c r="B9" s="7">
        <v>8500</v>
      </c>
      <c r="C9" s="7"/>
      <c r="D9" s="7"/>
    </row>
    <row r="10" spans="1:15" ht="15.75" customHeight="1">
      <c r="A10" s="5" t="s">
        <v>243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998"/>
  <sheetViews>
    <sheetView topLeftCell="A2" workbookViewId="0">
      <selection activeCell="C21" sqref="C21"/>
    </sheetView>
  </sheetViews>
  <sheetFormatPr baseColWidth="10" defaultColWidth="12.6640625" defaultRowHeight="15.75" customHeight="1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>
      <c r="A1" s="23" t="s">
        <v>3</v>
      </c>
      <c r="B1" s="1" t="s">
        <v>5</v>
      </c>
      <c r="C1" s="24" t="s">
        <v>14</v>
      </c>
      <c r="D1" s="24" t="s">
        <v>246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>
      <c r="A2" s="9" t="s">
        <v>421</v>
      </c>
      <c r="B2" s="9" t="s">
        <v>422</v>
      </c>
      <c r="C2" s="27" t="s">
        <v>497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>
      <c r="A3" s="9" t="s">
        <v>425</v>
      </c>
      <c r="B3" s="9" t="s">
        <v>423</v>
      </c>
      <c r="C3" s="27" t="s">
        <v>424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>
      <c r="A4" s="9" t="s">
        <v>330</v>
      </c>
      <c r="B4" s="9" t="s">
        <v>426</v>
      </c>
      <c r="C4" s="27" t="s">
        <v>427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>
      <c r="A5" s="9" t="s">
        <v>428</v>
      </c>
      <c r="B5" s="9" t="s">
        <v>429</v>
      </c>
      <c r="C5" s="33" t="s">
        <v>430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>
      <c r="A6" s="9" t="s">
        <v>159</v>
      </c>
      <c r="B6" s="9" t="s">
        <v>423</v>
      </c>
      <c r="C6" s="9" t="s">
        <v>498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>
      <c r="A7" s="9" t="s">
        <v>431</v>
      </c>
      <c r="B7" s="9" t="s">
        <v>422</v>
      </c>
      <c r="C7" s="27" t="s">
        <v>499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>
      <c r="A8" s="9" t="s">
        <v>432</v>
      </c>
      <c r="B8" s="9" t="s">
        <v>433</v>
      </c>
      <c r="C8" s="9" t="s">
        <v>434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>
      <c r="A9" s="9" t="s">
        <v>435</v>
      </c>
      <c r="B9" s="9" t="s">
        <v>423</v>
      </c>
      <c r="C9" s="9" t="s">
        <v>424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>
      <c r="A10" s="9" t="s">
        <v>436</v>
      </c>
      <c r="B10" s="9" t="s">
        <v>423</v>
      </c>
      <c r="C10" s="27" t="s">
        <v>500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>
      <c r="A11" s="9" t="s">
        <v>437</v>
      </c>
      <c r="B11" s="9" t="s">
        <v>438</v>
      </c>
      <c r="C11" s="9" t="s">
        <v>354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>
      <c r="A12" s="9" t="s">
        <v>439</v>
      </c>
      <c r="B12" s="9" t="s">
        <v>440</v>
      </c>
      <c r="C12" s="9" t="s">
        <v>441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>
      <c r="A13" s="9" t="s">
        <v>442</v>
      </c>
      <c r="B13" s="9" t="s">
        <v>443</v>
      </c>
      <c r="C13" s="9" t="s">
        <v>444</v>
      </c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>
      <c r="A14" s="9" t="s">
        <v>445</v>
      </c>
      <c r="B14" s="9" t="s">
        <v>440</v>
      </c>
      <c r="C14" s="9" t="s">
        <v>441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>
      <c r="A15" s="9" t="s">
        <v>446</v>
      </c>
      <c r="B15" s="9" t="s">
        <v>447</v>
      </c>
      <c r="C15" s="9" t="s">
        <v>441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>
      <c r="A16" s="9" t="s">
        <v>448</v>
      </c>
      <c r="B16" s="9" t="s">
        <v>449</v>
      </c>
      <c r="C16" s="9" t="s">
        <v>450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>
      <c r="A17" s="9" t="s">
        <v>451</v>
      </c>
      <c r="B17" s="9" t="s">
        <v>452</v>
      </c>
      <c r="C17" s="9" t="s">
        <v>453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>
      <c r="A18" s="9" t="s">
        <v>454</v>
      </c>
      <c r="B18" s="9" t="s">
        <v>423</v>
      </c>
      <c r="C18" s="9" t="s">
        <v>424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>
      <c r="A19" s="9" t="s">
        <v>455</v>
      </c>
      <c r="B19" s="9" t="s">
        <v>422</v>
      </c>
      <c r="C19" s="9" t="s">
        <v>406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>
      <c r="A20" s="9" t="s">
        <v>456</v>
      </c>
      <c r="B20" s="9" t="s">
        <v>423</v>
      </c>
      <c r="C20" s="9" t="s">
        <v>424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>
      <c r="A21" s="9" t="s">
        <v>35</v>
      </c>
      <c r="B21" s="9" t="s">
        <v>457</v>
      </c>
      <c r="C21" s="27" t="s">
        <v>503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>
      <c r="A22" s="9" t="s">
        <v>459</v>
      </c>
      <c r="B22" s="9" t="s">
        <v>460</v>
      </c>
      <c r="C22" s="9" t="s">
        <v>461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>
      <c r="A23" s="9" t="s">
        <v>459</v>
      </c>
      <c r="B23" s="9" t="s">
        <v>462</v>
      </c>
      <c r="C23" s="9" t="s">
        <v>463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>
      <c r="A24" s="9" t="s">
        <v>459</v>
      </c>
      <c r="C24" s="9" t="s">
        <v>464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>
      <c r="A25" s="9" t="s">
        <v>465</v>
      </c>
      <c r="B25" s="9" t="s">
        <v>466</v>
      </c>
      <c r="C25" s="9" t="s">
        <v>467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>
      <c r="A26" s="9" t="s">
        <v>468</v>
      </c>
      <c r="B26" s="9" t="s">
        <v>466</v>
      </c>
      <c r="C26" s="9" t="s">
        <v>467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>
      <c r="A27" s="9" t="s">
        <v>40</v>
      </c>
      <c r="B27" s="9" t="s">
        <v>460</v>
      </c>
      <c r="C27" s="9" t="s">
        <v>461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>
      <c r="A28" s="9" t="s">
        <v>469</v>
      </c>
      <c r="B28" s="9" t="s">
        <v>462</v>
      </c>
      <c r="C28" s="9" t="s">
        <v>463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>
      <c r="A29" s="9" t="s">
        <v>470</v>
      </c>
      <c r="B29" s="9" t="s">
        <v>471</v>
      </c>
      <c r="C29" s="9" t="s">
        <v>474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>
      <c r="A30" s="9" t="s">
        <v>470</v>
      </c>
      <c r="B30" s="9" t="s">
        <v>473</v>
      </c>
      <c r="C30" s="9" t="s">
        <v>474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>
      <c r="A31" s="9" t="s">
        <v>475</v>
      </c>
      <c r="B31" s="9" t="s">
        <v>476</v>
      </c>
      <c r="C31" s="9" t="s">
        <v>477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>
      <c r="A32" s="9" t="s">
        <v>59</v>
      </c>
      <c r="B32" s="9" t="s">
        <v>478</v>
      </c>
      <c r="C32" s="9" t="s">
        <v>479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>
      <c r="A33" s="9" t="s">
        <v>480</v>
      </c>
      <c r="B33" s="9" t="s">
        <v>471</v>
      </c>
      <c r="C33" s="26" t="s">
        <v>472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>
      <c r="A34" s="9" t="s">
        <v>197</v>
      </c>
      <c r="B34" s="9" t="s">
        <v>473</v>
      </c>
      <c r="C34" s="9" t="s">
        <v>474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>
      <c r="A35" s="9" t="s">
        <v>199</v>
      </c>
      <c r="B35" s="9" t="s">
        <v>478</v>
      </c>
      <c r="C35" s="9" t="s">
        <v>479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>
      <c r="A36" s="9" t="s">
        <v>481</v>
      </c>
      <c r="B36" s="9" t="s">
        <v>482</v>
      </c>
      <c r="C36" s="9" t="s">
        <v>483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>
      <c r="A37" s="9" t="s">
        <v>484</v>
      </c>
      <c r="B37" s="9" t="s">
        <v>422</v>
      </c>
      <c r="C37" s="9" t="s">
        <v>406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>
      <c r="A38" s="9" t="s">
        <v>341</v>
      </c>
      <c r="B38" s="9" t="s">
        <v>485</v>
      </c>
      <c r="C38" s="9" t="s">
        <v>486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>
      <c r="A39" s="9" t="s">
        <v>487</v>
      </c>
      <c r="B39" s="9" t="s">
        <v>488</v>
      </c>
      <c r="C39" s="27" t="s">
        <v>489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>
      <c r="C40" s="5"/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>
      <c r="C41" s="5"/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>
      <c r="C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>
      <c r="C46" s="5"/>
      <c r="D46" s="5"/>
      <c r="E46" s="5"/>
      <c r="F46" s="5"/>
      <c r="I46"/>
      <c r="J46" s="5"/>
      <c r="K46" s="5"/>
      <c r="L46" s="5"/>
      <c r="M46" s="5"/>
      <c r="N46" s="5"/>
      <c r="O46" s="5"/>
      <c r="P46" s="5"/>
      <c r="Q46" s="5"/>
    </row>
    <row r="47" spans="1:17" ht="15.75" customHeight="1">
      <c r="C47" s="5"/>
      <c r="D47" s="5"/>
      <c r="E47" s="5"/>
      <c r="F47" s="5"/>
      <c r="G47" s="5"/>
      <c r="J47" s="5"/>
      <c r="K47" s="5"/>
      <c r="L47" s="5"/>
      <c r="M47" s="5"/>
      <c r="N47" s="5"/>
      <c r="O47" s="5"/>
      <c r="P47" s="5"/>
      <c r="Q47" s="5"/>
    </row>
    <row r="48" spans="1:17" ht="15.75" customHeight="1">
      <c r="C48" s="5"/>
      <c r="D48" s="5"/>
      <c r="E48" s="5"/>
      <c r="F48" s="5"/>
      <c r="G48" s="5"/>
      <c r="J48" s="5"/>
      <c r="K48" s="5"/>
      <c r="L48" s="5"/>
      <c r="M48" s="5"/>
      <c r="N48" s="5"/>
      <c r="O48" s="5"/>
      <c r="P48" s="5"/>
      <c r="Q48" s="5"/>
    </row>
    <row r="49" spans="3:17" ht="14" customHeight="1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4" customHeight="1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8" spans="3:17" ht="15.75" customHeight="1">
      <c r="I998"/>
    </row>
  </sheetData>
  <autoFilter ref="A1:D39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/>
  <cols>
    <col min="1" max="1" width="49.5" customWidth="1"/>
    <col min="2" max="2" width="31.5" customWidth="1"/>
    <col min="3" max="3" width="19.83203125" customWidth="1"/>
  </cols>
  <sheetData>
    <row r="1" spans="1:3" ht="18">
      <c r="A1" s="17" t="s">
        <v>314</v>
      </c>
      <c r="B1" s="17" t="s">
        <v>315</v>
      </c>
      <c r="C1" s="17" t="s">
        <v>316</v>
      </c>
    </row>
    <row r="2" spans="1:3" ht="18">
      <c r="A2" s="18" t="s">
        <v>319</v>
      </c>
      <c r="B2" s="19" t="s">
        <v>399</v>
      </c>
      <c r="C2" s="19" t="s">
        <v>317</v>
      </c>
    </row>
    <row r="3" spans="1:3" ht="18">
      <c r="A3" s="19" t="s">
        <v>320</v>
      </c>
      <c r="B3" s="19" t="s">
        <v>400</v>
      </c>
      <c r="C3" s="19" t="s">
        <v>317</v>
      </c>
    </row>
    <row r="4" spans="1:3" ht="18">
      <c r="A4" s="20" t="s">
        <v>321</v>
      </c>
      <c r="B4" s="19" t="s">
        <v>401</v>
      </c>
      <c r="C4" s="19" t="s">
        <v>318</v>
      </c>
    </row>
    <row r="5" spans="1:3" ht="18">
      <c r="A5" s="19" t="s">
        <v>322</v>
      </c>
      <c r="B5" s="19" t="s">
        <v>402</v>
      </c>
      <c r="C5" s="19" t="s">
        <v>318</v>
      </c>
    </row>
    <row r="6" spans="1:3" ht="18">
      <c r="A6" s="19" t="s">
        <v>323</v>
      </c>
      <c r="B6" s="19" t="s">
        <v>403</v>
      </c>
      <c r="C6" s="19" t="s">
        <v>318</v>
      </c>
    </row>
    <row r="7" spans="1:3" ht="18">
      <c r="A7" s="19"/>
      <c r="B7" s="19"/>
      <c r="C7" s="19"/>
    </row>
    <row r="8" spans="1:3" ht="16">
      <c r="A8" s="12"/>
      <c r="B8" s="12"/>
      <c r="C8" s="12"/>
    </row>
    <row r="9" spans="1:3" ht="16">
      <c r="A9" s="12"/>
      <c r="B9" s="12"/>
      <c r="C9" s="12"/>
    </row>
    <row r="10" spans="1:3" ht="16">
      <c r="A10" s="12"/>
      <c r="B10" s="12"/>
      <c r="C10" s="12"/>
    </row>
    <row r="11" spans="1:3" ht="16">
      <c r="A11" s="12"/>
      <c r="B11" s="12"/>
      <c r="C11" s="12"/>
    </row>
    <row r="47" spans="7:7">
      <c r="G47" s="9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265</v>
      </c>
      <c r="B2" t="s">
        <v>266</v>
      </c>
      <c r="C2" t="s">
        <v>267</v>
      </c>
      <c r="D2" t="s">
        <v>268</v>
      </c>
      <c r="E2" t="s">
        <v>269</v>
      </c>
      <c r="F2" t="s">
        <v>270</v>
      </c>
      <c r="G2" t="s">
        <v>271</v>
      </c>
      <c r="H2" t="s">
        <v>230</v>
      </c>
      <c r="I2" t="s">
        <v>272</v>
      </c>
      <c r="J2" t="s">
        <v>273</v>
      </c>
      <c r="K2" t="s">
        <v>274</v>
      </c>
      <c r="L2" t="s">
        <v>275</v>
      </c>
      <c r="M2" t="s">
        <v>276</v>
      </c>
      <c r="N2" t="s">
        <v>277</v>
      </c>
      <c r="O2" t="s">
        <v>278</v>
      </c>
      <c r="P2" t="s">
        <v>279</v>
      </c>
      <c r="Q2" t="s">
        <v>280</v>
      </c>
      <c r="R2" t="s">
        <v>281</v>
      </c>
      <c r="S2" t="s">
        <v>232</v>
      </c>
      <c r="T2" t="s">
        <v>233</v>
      </c>
      <c r="U2" t="s">
        <v>235</v>
      </c>
      <c r="V2" t="s">
        <v>237</v>
      </c>
    </row>
    <row r="3" spans="1:22">
      <c r="A3" t="s">
        <v>282</v>
      </c>
      <c r="B3">
        <v>1</v>
      </c>
      <c r="C3" t="s">
        <v>63</v>
      </c>
      <c r="D3" t="s">
        <v>283</v>
      </c>
      <c r="E3" t="s">
        <v>282</v>
      </c>
      <c r="F3" t="s">
        <v>16</v>
      </c>
      <c r="G3" t="s">
        <v>284</v>
      </c>
      <c r="H3" t="s">
        <v>239</v>
      </c>
      <c r="I3" t="s">
        <v>285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240</v>
      </c>
      <c r="T3" t="s">
        <v>241</v>
      </c>
      <c r="U3" t="s">
        <v>241</v>
      </c>
      <c r="V3" t="s">
        <v>241</v>
      </c>
    </row>
    <row r="4" spans="1:22">
      <c r="A4" t="s">
        <v>286</v>
      </c>
      <c r="B4">
        <v>1</v>
      </c>
      <c r="C4" t="s">
        <v>63</v>
      </c>
      <c r="D4" t="s">
        <v>283</v>
      </c>
      <c r="E4" t="s">
        <v>282</v>
      </c>
      <c r="F4" t="s">
        <v>16</v>
      </c>
      <c r="G4" t="s">
        <v>284</v>
      </c>
      <c r="H4" t="s">
        <v>239</v>
      </c>
      <c r="I4" t="s">
        <v>285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240</v>
      </c>
      <c r="T4" t="s">
        <v>241</v>
      </c>
      <c r="U4" t="s">
        <v>241</v>
      </c>
      <c r="V4" t="s">
        <v>241</v>
      </c>
    </row>
    <row r="5" spans="1:22">
      <c r="A5" t="s">
        <v>287</v>
      </c>
      <c r="B5">
        <v>1</v>
      </c>
      <c r="C5" t="s">
        <v>63</v>
      </c>
      <c r="D5" t="s">
        <v>283</v>
      </c>
      <c r="E5" t="s">
        <v>282</v>
      </c>
      <c r="F5" t="s">
        <v>16</v>
      </c>
      <c r="G5" t="s">
        <v>284</v>
      </c>
      <c r="H5" t="s">
        <v>239</v>
      </c>
      <c r="I5" t="s">
        <v>285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240</v>
      </c>
      <c r="T5" t="s">
        <v>241</v>
      </c>
      <c r="U5" t="s">
        <v>241</v>
      </c>
      <c r="V5" t="s">
        <v>241</v>
      </c>
    </row>
    <row r="6" spans="1:22">
      <c r="A6" t="s">
        <v>288</v>
      </c>
      <c r="B6">
        <v>1</v>
      </c>
      <c r="C6" t="s">
        <v>63</v>
      </c>
      <c r="D6" t="s">
        <v>283</v>
      </c>
      <c r="E6" t="s">
        <v>282</v>
      </c>
      <c r="F6" t="s">
        <v>16</v>
      </c>
      <c r="G6" t="s">
        <v>284</v>
      </c>
      <c r="H6" t="s">
        <v>239</v>
      </c>
      <c r="I6" t="s">
        <v>285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240</v>
      </c>
      <c r="T6" t="s">
        <v>241</v>
      </c>
      <c r="U6" t="s">
        <v>241</v>
      </c>
      <c r="V6" t="s">
        <v>241</v>
      </c>
    </row>
    <row r="7" spans="1:22">
      <c r="A7" t="s">
        <v>282</v>
      </c>
      <c r="B7">
        <v>1</v>
      </c>
      <c r="C7" t="s">
        <v>63</v>
      </c>
      <c r="D7" t="s">
        <v>289</v>
      </c>
      <c r="E7" t="s">
        <v>282</v>
      </c>
      <c r="F7" t="s">
        <v>16</v>
      </c>
      <c r="G7" t="s">
        <v>284</v>
      </c>
      <c r="H7" t="s">
        <v>239</v>
      </c>
      <c r="I7" t="s">
        <v>285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240</v>
      </c>
      <c r="T7" t="s">
        <v>243</v>
      </c>
      <c r="U7" t="s">
        <v>241</v>
      </c>
      <c r="V7" t="s">
        <v>241</v>
      </c>
    </row>
    <row r="8" spans="1:22">
      <c r="A8" t="s">
        <v>290</v>
      </c>
      <c r="B8">
        <v>1</v>
      </c>
      <c r="C8" t="s">
        <v>63</v>
      </c>
      <c r="D8" t="s">
        <v>289</v>
      </c>
      <c r="E8" t="s">
        <v>282</v>
      </c>
      <c r="F8" t="s">
        <v>16</v>
      </c>
      <c r="G8" t="s">
        <v>284</v>
      </c>
      <c r="H8" t="s">
        <v>239</v>
      </c>
      <c r="I8" t="s">
        <v>285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240</v>
      </c>
      <c r="T8" t="s">
        <v>243</v>
      </c>
      <c r="U8" t="s">
        <v>241</v>
      </c>
      <c r="V8" t="s">
        <v>241</v>
      </c>
    </row>
    <row r="9" spans="1:22">
      <c r="A9" t="s">
        <v>291</v>
      </c>
      <c r="B9">
        <v>1</v>
      </c>
      <c r="C9" t="s">
        <v>63</v>
      </c>
      <c r="D9" t="s">
        <v>289</v>
      </c>
      <c r="E9" t="s">
        <v>282</v>
      </c>
      <c r="F9" t="s">
        <v>16</v>
      </c>
      <c r="G9" t="s">
        <v>284</v>
      </c>
      <c r="H9" t="s">
        <v>239</v>
      </c>
      <c r="I9" t="s">
        <v>285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240</v>
      </c>
      <c r="T9" t="s">
        <v>243</v>
      </c>
      <c r="U9" t="s">
        <v>241</v>
      </c>
      <c r="V9" t="s">
        <v>241</v>
      </c>
    </row>
    <row r="10" spans="1:22">
      <c r="A10" t="s">
        <v>292</v>
      </c>
      <c r="B10">
        <v>1</v>
      </c>
      <c r="C10" t="s">
        <v>63</v>
      </c>
      <c r="D10" t="s">
        <v>289</v>
      </c>
      <c r="E10" t="s">
        <v>282</v>
      </c>
      <c r="F10" t="s">
        <v>64</v>
      </c>
      <c r="G10" t="s">
        <v>284</v>
      </c>
      <c r="H10" t="s">
        <v>239</v>
      </c>
      <c r="I10" t="s">
        <v>285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240</v>
      </c>
      <c r="T10" t="s">
        <v>241</v>
      </c>
      <c r="U10" t="s">
        <v>241</v>
      </c>
      <c r="V10" t="s">
        <v>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293</v>
      </c>
    </row>
    <row r="2" spans="1:2">
      <c r="A2" t="s">
        <v>22</v>
      </c>
      <c r="B2">
        <v>11.82</v>
      </c>
    </row>
    <row r="3" spans="1:2">
      <c r="A3" t="s">
        <v>247</v>
      </c>
      <c r="B3">
        <v>5.72</v>
      </c>
    </row>
    <row r="4" spans="1:2">
      <c r="A4" t="s">
        <v>248</v>
      </c>
      <c r="B4">
        <v>3.05</v>
      </c>
    </row>
    <row r="5" spans="1:2">
      <c r="A5" t="s">
        <v>249</v>
      </c>
      <c r="B5">
        <v>6.4</v>
      </c>
    </row>
    <row r="6" spans="1:2">
      <c r="A6" t="s">
        <v>52</v>
      </c>
      <c r="B6">
        <v>6.3936063936063936E-3</v>
      </c>
    </row>
    <row r="7" spans="1:2">
      <c r="A7" t="s">
        <v>56</v>
      </c>
      <c r="B7">
        <v>11.82</v>
      </c>
    </row>
    <row r="8" spans="1:2">
      <c r="A8" t="s">
        <v>251</v>
      </c>
      <c r="B8">
        <v>11.82</v>
      </c>
    </row>
    <row r="9" spans="1:2">
      <c r="A9" t="s">
        <v>252</v>
      </c>
      <c r="B9">
        <v>5.8630000000000004</v>
      </c>
    </row>
    <row r="10" spans="1:2">
      <c r="A10" t="s">
        <v>253</v>
      </c>
      <c r="B10">
        <v>2.2000000000000002</v>
      </c>
    </row>
    <row r="11" spans="1:2">
      <c r="A11" t="s">
        <v>254</v>
      </c>
      <c r="B11">
        <v>2.0129999999999999</v>
      </c>
    </row>
    <row r="12" spans="1:2">
      <c r="A12" t="s">
        <v>255</v>
      </c>
      <c r="B12">
        <v>8.7230000000000008</v>
      </c>
    </row>
    <row r="13" spans="1:2">
      <c r="A13" t="s">
        <v>256</v>
      </c>
      <c r="B13">
        <v>6.4</v>
      </c>
    </row>
    <row r="14" spans="1:2">
      <c r="A14" t="s">
        <v>250</v>
      </c>
      <c r="B14">
        <v>6.4</v>
      </c>
    </row>
    <row r="15" spans="1:2">
      <c r="A15" t="s">
        <v>257</v>
      </c>
      <c r="B15">
        <v>23.64</v>
      </c>
    </row>
    <row r="16" spans="1:2">
      <c r="A16" t="s">
        <v>146</v>
      </c>
      <c r="B16">
        <v>6.4</v>
      </c>
    </row>
    <row r="17" spans="1:2">
      <c r="A17" t="s">
        <v>258</v>
      </c>
      <c r="B17">
        <v>11.82</v>
      </c>
    </row>
    <row r="18" spans="1:2">
      <c r="A18" t="s">
        <v>259</v>
      </c>
      <c r="B18">
        <v>3</v>
      </c>
    </row>
    <row r="19" spans="1:2">
      <c r="A19" t="s">
        <v>49</v>
      </c>
      <c r="B19">
        <v>12</v>
      </c>
    </row>
    <row r="20" spans="1:2">
      <c r="A20" t="s">
        <v>260</v>
      </c>
      <c r="B20">
        <v>3</v>
      </c>
    </row>
    <row r="21" spans="1:2">
      <c r="A21" t="s">
        <v>33</v>
      </c>
      <c r="B21">
        <v>1</v>
      </c>
    </row>
    <row r="22" spans="1:2">
      <c r="A22" t="s">
        <v>261</v>
      </c>
      <c r="B22">
        <v>1</v>
      </c>
    </row>
    <row r="23" spans="1:2">
      <c r="A23" t="s">
        <v>262</v>
      </c>
      <c r="B23">
        <v>1</v>
      </c>
    </row>
    <row r="24" spans="1:2">
      <c r="A24" t="s">
        <v>263</v>
      </c>
      <c r="B24">
        <v>1</v>
      </c>
    </row>
    <row r="25" spans="1:2">
      <c r="A25" t="s">
        <v>68</v>
      </c>
      <c r="B25">
        <v>1</v>
      </c>
    </row>
    <row r="26" spans="1:2">
      <c r="A26" t="s">
        <v>264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267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294</v>
      </c>
      <c r="H1" t="s">
        <v>8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</row>
    <row r="2" spans="1:13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>
      <c r="A16" t="s">
        <v>63</v>
      </c>
      <c r="B16" t="s">
        <v>64</v>
      </c>
      <c r="C16" t="s">
        <v>163</v>
      </c>
      <c r="D16" t="s">
        <v>164</v>
      </c>
      <c r="E16" t="s">
        <v>162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>
      <c r="A17" t="s">
        <v>63</v>
      </c>
      <c r="B17" t="s">
        <v>64</v>
      </c>
      <c r="C17" t="s">
        <v>101</v>
      </c>
      <c r="D17" t="s">
        <v>166</v>
      </c>
      <c r="E17" t="s">
        <v>165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>
      <c r="A18" t="s">
        <v>63</v>
      </c>
      <c r="B18" t="s">
        <v>64</v>
      </c>
      <c r="C18" t="s">
        <v>168</v>
      </c>
      <c r="D18" t="s">
        <v>169</v>
      </c>
      <c r="E18" t="s">
        <v>167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>
      <c r="A19" t="s">
        <v>63</v>
      </c>
      <c r="B19" t="s">
        <v>64</v>
      </c>
      <c r="C19" t="s">
        <v>140</v>
      </c>
      <c r="D19" t="s">
        <v>171</v>
      </c>
      <c r="E19" t="s">
        <v>170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>
      <c r="A20" t="s">
        <v>63</v>
      </c>
      <c r="B20" t="s">
        <v>64</v>
      </c>
      <c r="C20" t="s">
        <v>104</v>
      </c>
      <c r="D20" t="s">
        <v>173</v>
      </c>
      <c r="E20" t="s">
        <v>172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>
      <c r="A21" t="s">
        <v>63</v>
      </c>
      <c r="B21" t="s">
        <v>64</v>
      </c>
      <c r="C21" t="s">
        <v>140</v>
      </c>
      <c r="D21" t="s">
        <v>124</v>
      </c>
      <c r="E21" t="s">
        <v>174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>
      <c r="A22" t="s">
        <v>63</v>
      </c>
      <c r="B22" t="s">
        <v>64</v>
      </c>
      <c r="C22" t="s">
        <v>148</v>
      </c>
      <c r="D22" t="s">
        <v>176</v>
      </c>
      <c r="E22" t="s">
        <v>175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>
      <c r="A23" t="s">
        <v>63</v>
      </c>
      <c r="B23" t="s">
        <v>64</v>
      </c>
      <c r="C23" t="s">
        <v>151</v>
      </c>
      <c r="D23" t="s">
        <v>178</v>
      </c>
      <c r="E23" t="s">
        <v>177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>
      <c r="A24" t="s">
        <v>63</v>
      </c>
      <c r="B24" t="s">
        <v>64</v>
      </c>
      <c r="C24" t="s">
        <v>180</v>
      </c>
      <c r="D24" t="s">
        <v>181</v>
      </c>
      <c r="E24" t="s">
        <v>179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300</v>
      </c>
      <c r="B1" t="s">
        <v>301</v>
      </c>
      <c r="C1" t="s">
        <v>302</v>
      </c>
      <c r="D1" t="s">
        <v>303</v>
      </c>
    </row>
    <row r="2" spans="1:4">
      <c r="A2" t="s">
        <v>304</v>
      </c>
      <c r="B2">
        <v>9000</v>
      </c>
      <c r="C2" t="s">
        <v>305</v>
      </c>
      <c r="D2">
        <v>78507</v>
      </c>
    </row>
    <row r="3" spans="1:4">
      <c r="A3" t="s">
        <v>232</v>
      </c>
      <c r="B3">
        <v>4000</v>
      </c>
      <c r="C3" t="s">
        <v>305</v>
      </c>
      <c r="D3">
        <v>34892</v>
      </c>
    </row>
    <row r="4" spans="1:4">
      <c r="A4" t="s">
        <v>233</v>
      </c>
      <c r="B4">
        <v>2000</v>
      </c>
      <c r="C4" t="s">
        <v>305</v>
      </c>
      <c r="D4">
        <v>17446</v>
      </c>
    </row>
    <row r="5" spans="1:4">
      <c r="A5" t="s">
        <v>235</v>
      </c>
      <c r="B5">
        <v>10000</v>
      </c>
      <c r="C5" t="s">
        <v>305</v>
      </c>
      <c r="D5">
        <v>87230.000000000015</v>
      </c>
    </row>
    <row r="6" spans="1:4">
      <c r="A6" t="s">
        <v>237</v>
      </c>
      <c r="B6">
        <v>10000</v>
      </c>
      <c r="C6" t="s">
        <v>305</v>
      </c>
      <c r="D6">
        <v>87230.000000000015</v>
      </c>
    </row>
    <row r="7" spans="1:4">
      <c r="A7" t="s">
        <v>306</v>
      </c>
      <c r="B7" t="s">
        <v>307</v>
      </c>
      <c r="C7" t="s">
        <v>307</v>
      </c>
      <c r="D7">
        <v>555189</v>
      </c>
    </row>
    <row r="8" spans="1:4">
      <c r="A8" t="s">
        <v>308</v>
      </c>
      <c r="D8">
        <v>602345.79999999993</v>
      </c>
    </row>
    <row r="9" spans="1:4">
      <c r="A9" t="s">
        <v>309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2025-12-12T10:24:25Z</dcterms:modified>
</cp:coreProperties>
</file>