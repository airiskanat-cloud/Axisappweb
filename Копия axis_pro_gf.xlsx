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ulmira/Documents/Axis web/"/>
    </mc:Choice>
  </mc:AlternateContent>
  <xr:revisionPtr revIDLastSave="0" documentId="8_{7CC68B8E-9C90-F448-AA7E-26C1DA223BBF}" xr6:coauthVersionLast="47" xr6:coauthVersionMax="47" xr10:uidLastSave="{00000000-0000-0000-0000-000000000000}"/>
  <bookViews>
    <workbookView xWindow="0" yWindow="780" windowWidth="29400" windowHeight="17160" activeTab="1" xr2:uid="{00000000-000D-0000-FFFF-FFFF00000000}"/>
  </bookViews>
  <sheets>
    <sheet name="СПРАВОЧНИК -1" sheetId="1" r:id="rId1"/>
    <sheet name="СПРАВОЧНИК -2" sheetId="2" r:id="rId2"/>
    <sheet name="СПРАВОЧНИК -3" sheetId="3" r:id="rId3"/>
    <sheet name="ПОЛЬЗОВАТЕЛИ" sheetId="8" r:id="rId4"/>
    <sheet name="ЗАПРОСЫ" sheetId="4" r:id="rId5"/>
    <sheet name="Расчет по габаритам" sheetId="5" r:id="rId6"/>
    <sheet name="Расчетом расходов материалов" sheetId="6" r:id="rId7"/>
    <sheet name="Итоговый расчет с монтажом" sheetId="7" r:id="rId8"/>
  </sheets>
  <definedNames>
    <definedName name="_xlnm._FilterDatabase" localSheetId="0" hidden="1">'СПРАВОЧНИК -1'!$A$1:$Z$147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<sst xmlns="http://schemas.openxmlformats.org/spreadsheetml/2006/main" count="2840" uniqueCount="710">
  <si>
    <t>Тип изделия:</t>
  </si>
  <si>
    <t>Система профиля</t>
  </si>
  <si>
    <t>Товар</t>
  </si>
  <si>
    <t>Тип элемента</t>
  </si>
  <si>
    <t>Артикул</t>
  </si>
  <si>
    <t>Формула фактического расхода (на весь заказ)</t>
  </si>
  <si>
    <t>Ед.</t>
  </si>
  <si>
    <t xml:space="preserve">цена за ед </t>
  </si>
  <si>
    <t>Ед. фактического расхода</t>
  </si>
  <si>
    <t>Кол-во фактического расхода</t>
  </si>
  <si>
    <t>кол-во норм к упаковке</t>
  </si>
  <si>
    <t xml:space="preserve"> ед .норма к упаковке</t>
  </si>
  <si>
    <t>кол-во к отгрузке</t>
  </si>
  <si>
    <t>сумма</t>
  </si>
  <si>
    <t>Формула_Python</t>
  </si>
  <si>
    <t>Окно</t>
  </si>
  <si>
    <t>ALG 2030-45C</t>
  </si>
  <si>
    <t>50 Мовиль RAL 9006 мат</t>
  </si>
  <si>
    <t>Накладной профиль (по ширине)</t>
  </si>
  <si>
    <t>2-00-2052-60-E9006-</t>
  </si>
  <si>
    <t>I = (W/1000) * Nwin (м)</t>
  </si>
  <si>
    <t>м</t>
  </si>
  <si>
    <t>хлыст</t>
  </si>
  <si>
    <t>width/1000 * qty</t>
  </si>
  <si>
    <t>45 Рама RAL 9016</t>
  </si>
  <si>
    <t>Рамный профиль</t>
  </si>
  <si>
    <t>2-00-2160-60-9016</t>
  </si>
  <si>
    <t>I = 2*(W + H)/1000 * Nwin (м)</t>
  </si>
  <si>
    <t>2*(width + height)/1000 * qty</t>
  </si>
  <si>
    <t>45 Импост RAL 9016</t>
  </si>
  <si>
    <t>Импост (вертикальный+горизонтальный)</t>
  </si>
  <si>
    <t>2-00-2163-60-9016</t>
  </si>
  <si>
    <t>Приближённо: вертикальные: Nvert = IF(CENTER&gt;0; 2; IF(AND(LEFT&gt;0; RIGHT&gt;0); 1; 0)) длина одного верт.: Hvert = IF(TOP&gt;0; H - TOP; H)  Lvert = Nvert * Hvert/1000 горизонтальный под TOP: Lhor = IF(TOP&gt;0; W/1000; 0)  Итого: I = (Lvert + Lhor) * Nwin (м)</t>
  </si>
  <si>
    <t>((height/1000 if center&gt;0 else (2*height/1000 if (left&gt;0 and right&gt;0) else 0)) + (width/1000 if top&gt;0 else 0)) * qty</t>
  </si>
  <si>
    <t>45 Створка RAL 9016</t>
  </si>
  <si>
    <t>Профиль створки</t>
  </si>
  <si>
    <t>2-00-2173-60-9016</t>
  </si>
  <si>
    <t>Если на одно окно 1 створка: Nsash = 1  I = 2*(SW + SH)/1000 * Nsash * Nwin (м)</t>
  </si>
  <si>
    <t>2*(sash_width + sash_height)/1000 * qty</t>
  </si>
  <si>
    <t>45 Штапик 10,7 мм RAL 9016</t>
  </si>
  <si>
    <t>Штапик общий</t>
  </si>
  <si>
    <t>2-00-2511-60-9016</t>
  </si>
  <si>
    <t>Приближение без размеров СП: глухое поле: Pfix = IF(LEFT&gt;0; 2*(LEFT + (H - TOP))/1000; 0)створка: Psash = 2*(SW + SH)/1000 (если есть створка) фрамуга: Ptop = IF(TOP&gt;0; 2*(W + TOP)/1000; 0)  Итого: I = (Pfix + Psash + Ptop) * Nwin (м)</t>
  </si>
  <si>
    <t>((2*(left + height)/1000 if left&gt;0 else 0) + 2*(sash_width + sash_height)/1000 + (2*(width + top)/1000 if top&gt;0 else 0)) * qty</t>
  </si>
  <si>
    <t>Пим для мувиля (UYAR)</t>
  </si>
  <si>
    <t>Фурнитура штучная</t>
  </si>
  <si>
    <t>2-22-1001-00-0001</t>
  </si>
  <si>
    <t>I = N_open_sash * Nwin (шт) — N_open_sash = кол-во створок с мувилем в твоей форме</t>
  </si>
  <si>
    <t>шт</t>
  </si>
  <si>
    <t>qty</t>
  </si>
  <si>
    <t>Ручка створочная</t>
  </si>
  <si>
    <t>Соединитель импоста 35 мм (2160, 2163)</t>
  </si>
  <si>
    <t>Соединитель импоста</t>
  </si>
  <si>
    <t>2-11-2050-00-0350</t>
  </si>
  <si>
    <t>I = 2 * N_impost * Nwin (2 конца на импост)</t>
  </si>
  <si>
    <t>2 * n_impost * qty</t>
  </si>
  <si>
    <t>Навес оконный (LCJ15) аксиальный RAL 9016 (LCNH01)</t>
  </si>
  <si>
    <t>Петля створочная</t>
  </si>
  <si>
    <t>2-10-1304-00-9016</t>
  </si>
  <si>
    <t>I = Hinges_per_sash * Nsash * Nwin (шт) — где Hinges_per_sash ты задаёшь в форме в зависимости от высоты SH (обычно 2 или 3)</t>
  </si>
  <si>
    <t>2 * qty</t>
  </si>
  <si>
    <t>Сухарь 42,0 мм (2160, 2163) новый дизайн</t>
  </si>
  <si>
    <t>Сухарь</t>
  </si>
  <si>
    <t>2-11-2037-01-0420</t>
  </si>
  <si>
    <t>I = 4 * (N_imp_vert + N_imp_hor) * Nwin</t>
  </si>
  <si>
    <t>4 * (n_imp_vert + n_imp_hor) * qty</t>
  </si>
  <si>
    <t>Сухарь 44,0 мм (2173) новый дизайн</t>
  </si>
  <si>
    <t>2-11-2037-01-0440</t>
  </si>
  <si>
    <t>I = 4 * N_sash * Nwin</t>
  </si>
  <si>
    <t>4 * nsash * qty</t>
  </si>
  <si>
    <t>Ответная планка оконная (UYAR)</t>
  </si>
  <si>
    <t>Ответная планка створки</t>
  </si>
  <si>
    <t>2-22-1000-00-0002</t>
  </si>
  <si>
    <t>Обычно 1 на каждую поворотную/поворотно-откидную створку: I = N_open_sash * Nwin (шт)</t>
  </si>
  <si>
    <t>Ножницы нерж. 220 мм Stublina (4020.40)</t>
  </si>
  <si>
    <t>Ножницы створки</t>
  </si>
  <si>
    <t>2-22-1465-00-0220</t>
  </si>
  <si>
    <t>Ставятся только на поворотно-откидные створки: I = N_tilt_sash * Nwin (шт) — N_tilt_sash = кол-во П/О створок в форме</t>
  </si>
  <si>
    <t>Соединитель угла нержавеющий Ruit 45 (250 шт)</t>
  </si>
  <si>
    <t>Соединитель угла</t>
  </si>
  <si>
    <t>2-22-6800-00-0000</t>
  </si>
  <si>
    <t>Приближённая логика по прямоугольникам: внешняя рама: 1 прямоугольник → 4 угла; глухая секция слева (LEFT&gt;0) → ещё 4; фрамуга (TOP&gt;0) → ещё 4. Тогда Nrect = 1 + IF(LEFT&gt;0;1;0) + IF(TOP&gt;0;1;0)  I = 4 * Nrect * Nwin (шт) (для очень сложной сетки импостов лучше вручную задать Nrect по факту).</t>
  </si>
  <si>
    <t>4 * (1 + (1 if left&gt;0 else 0) + (1 if top&gt;0 else 0)) * qty</t>
  </si>
  <si>
    <t>Упл 4 на створку под прижим 4 мм (250 м)</t>
  </si>
  <si>
    <t>Уплотнитель по створке</t>
  </si>
  <si>
    <t>2-16-0400-00-0300</t>
  </si>
  <si>
    <t>Для всех створок:  I = 2*(SW + SH)/1000 * Nsash * Nwin (м)</t>
  </si>
  <si>
    <t>рулон</t>
  </si>
  <si>
    <t>Упл 7 на раму 2 мм (300 м)</t>
  </si>
  <si>
    <t>Уплотнитель по раме</t>
  </si>
  <si>
    <t>2-16-0700-00-0300</t>
  </si>
  <si>
    <t>По внешней раме: I = 2*(W + H)/1000 * Nwin (м)</t>
  </si>
  <si>
    <t>Упл 6-3 под штапик 3 мм (280 м)</t>
  </si>
  <si>
    <t>Уплотнитель под штапик</t>
  </si>
  <si>
    <t>2-16-0603-00-0300</t>
  </si>
  <si>
    <t>Так же, как штапик:  I = (Pfix + Psash + Ptop) * Nwin, где: Pfix = IF(LEFT&gt;0; 2*(LEFT + (H - TOP))/1000; 0)  Psash = 2*(SW + SH)/1000 * NsashPtop = IF(TOP&gt;0; 2*(W + TOP)/1000; 0)</t>
  </si>
  <si>
    <t>Упл 8-3 под стеклопакет 3 мм (250 м)</t>
  </si>
  <si>
    <t>Уплотнитель под стеклопакет</t>
  </si>
  <si>
    <t>2-16-0803-00-0300</t>
  </si>
  <si>
    <t>Аналогично 6-3:  I = (Pfix + Psash + Ptop) * Nwin (м) по той же схеме периметров</t>
  </si>
  <si>
    <t>Дверь</t>
  </si>
  <si>
    <t>ALG RUIT 63i</t>
  </si>
  <si>
    <t>Упл 6-2 (270) 2 мм UPL-6-2 под штапик (270 м)</t>
  </si>
  <si>
    <t>2-16-0602-00-0300</t>
  </si>
  <si>
    <t>для другой толщины СП, но формула такая же: I = P_all * Nwin</t>
  </si>
  <si>
    <t>Фиксатор пассивной створки накладной 22028 мм ELEMENTIS с ответной планкой RAL9016</t>
  </si>
  <si>
    <t>Фиксатор пассивной створки</t>
  </si>
  <si>
    <t>2-10-1462-00-9016</t>
  </si>
  <si>
    <t>I = N_sash_passive * Nwin</t>
  </si>
  <si>
    <t>Замок бочонок 155P/35P без барели KALE</t>
  </si>
  <si>
    <t>Замок дверной</t>
  </si>
  <si>
    <t>2-22-1417P-00-5535</t>
  </si>
  <si>
    <t>I = N_sash_active * Nwin</t>
  </si>
  <si>
    <t>Сердцевина замка DORMA никель (35×65)</t>
  </si>
  <si>
    <t>Сердцевина дверная</t>
  </si>
  <si>
    <t>2-22-2432-00-6535</t>
  </si>
  <si>
    <t>Комплект ответной планки Ruit для замка (подкладки, ответная планка, карман, шурупы)</t>
  </si>
  <si>
    <t>Ответная планка дверная</t>
  </si>
  <si>
    <t>2-15-0088-00-1005</t>
  </si>
  <si>
    <t>комп.</t>
  </si>
  <si>
    <t>ALG RUIT 73</t>
  </si>
  <si>
    <t>Ruit73i Профиль рамы RAL9016</t>
  </si>
  <si>
    <t>2-73-6301-60-9016</t>
  </si>
  <si>
    <t>I = 2*(W+H)/1000 * Nwin</t>
  </si>
  <si>
    <t>Ruit73i Профиль импоста RAL9016</t>
  </si>
  <si>
    <t>2-73-6302-60-9016</t>
  </si>
  <si>
    <t>I = (Lvert + Lhor) * Nwin</t>
  </si>
  <si>
    <t>((height - top)/1000 if center&gt;0 else (height/1000 if (left&gt;0 and right&gt;0) else 0)) * qty + (width/1000 if top&gt;0 else 0) * qty</t>
  </si>
  <si>
    <t>Ruit73i Профиль оконной створки RAL9016</t>
  </si>
  <si>
    <t>2-73-6304-60-9016</t>
  </si>
  <si>
    <t>I = 2*(SW+SH)/1000 * N_sash * Nwin</t>
  </si>
  <si>
    <t>Оконная ручка RAL9016 (UYAR)</t>
  </si>
  <si>
    <t>I = N_open_sash * Nwin</t>
  </si>
  <si>
    <t>Навес оконный LCJ15 аксиальный RAL9016</t>
  </si>
  <si>
    <t>I = Hinges_per_sash * N_sash * Nwin</t>
  </si>
  <si>
    <t>Сухарь 28,1 мм на створку (6304)</t>
  </si>
  <si>
    <t>2-11-0254-01-0281</t>
  </si>
  <si>
    <t>Сухарь 12,0 мм (6304, 6341, 6311, 6347)</t>
  </si>
  <si>
    <t>2-11-3304-00-0120</t>
  </si>
  <si>
    <t>I = N_nodes_12 * Nwin</t>
  </si>
  <si>
    <t>I = N_tilt_sash * Nwin</t>
  </si>
  <si>
    <t>Упл 12-1 (CORNER)</t>
  </si>
  <si>
    <t>Уплотнение угловое</t>
  </si>
  <si>
    <t>2-16-1201-00-0000</t>
  </si>
  <si>
    <t>I = N_corners * Nwin</t>
  </si>
  <si>
    <t>n_corners * qty</t>
  </si>
  <si>
    <t>I = 2*(SW+SH)/1000*N_sash*Nwin</t>
  </si>
  <si>
    <t>Упл 12-1 средний контур Ruit73s NEW (20)</t>
  </si>
  <si>
    <t>Уплотнитель рамы (средний контур)</t>
  </si>
  <si>
    <t>2-16-1201-00-0050</t>
  </si>
  <si>
    <t>I = 2*(W+H)/1000*Nwin</t>
  </si>
  <si>
    <t>45 Профиль порога компланарной двери NEW</t>
  </si>
  <si>
    <t>Порог двери</t>
  </si>
  <si>
    <t>2-00-2102-60-0000</t>
  </si>
  <si>
    <t>I = SW/1000 * Nwin</t>
  </si>
  <si>
    <t>45 Рама компланарной двери RAL9016</t>
  </si>
  <si>
    <t>Рамный профиль двери</t>
  </si>
  <si>
    <t>2-00-2115-60-9016</t>
  </si>
  <si>
    <t>45 Створка компланарной двери Н/О RAL9016</t>
  </si>
  <si>
    <t>Профиль створки двери</t>
  </si>
  <si>
    <t>2-00-2116-60-9016</t>
  </si>
  <si>
    <t>I=2*(SW+SH)/1000*N_sash*Nwin</t>
  </si>
  <si>
    <t>45 Штульп компланарной двери RAL9016</t>
  </si>
  <si>
    <t>Штульп двери</t>
  </si>
  <si>
    <t>2-00-2118-45-9016</t>
  </si>
  <si>
    <t>I = SH/1000*N_sash_passive*Nwin</t>
  </si>
  <si>
    <t>sash_height/1000 * qty</t>
  </si>
  <si>
    <t>45-(2118) Крышка штульпа компланарной двери верх/низ 45 (EPDM,10)</t>
  </si>
  <si>
    <t>Крышка штульпа</t>
  </si>
  <si>
    <t>2-22-0038-00-0045</t>
  </si>
  <si>
    <t>I=2*N_sash_passive*Nwin</t>
  </si>
  <si>
    <t>55/63 Ruit Профиль четверти дверной створки RAL9016</t>
  </si>
  <si>
    <t>Профиль четверти створки</t>
  </si>
  <si>
    <t>2-00-2217-60-9016</t>
  </si>
  <si>
    <t>если применяется: I = 2*SH/1000 * N_sash * Nwin(по двум вертикальным кромкам)</t>
  </si>
  <si>
    <t>2*sash_height/1000 * qty</t>
  </si>
  <si>
    <t>63 Ruit Профиль рамы 9016</t>
  </si>
  <si>
    <t>2-01-6301-60-9016</t>
  </si>
  <si>
    <t>63i Ruit Профиль рамы компланарной двери наружного открывания 9016</t>
  </si>
  <si>
    <t>Рамный профиль двери компланарный</t>
  </si>
  <si>
    <t>2-01-6312-60-9016</t>
  </si>
  <si>
    <t>та же логика: I = 2*(W+H)/1000 * Nwin</t>
  </si>
  <si>
    <t>63i Ruit Профиль створки компланарной двери наружного открывания 9016</t>
  </si>
  <si>
    <t>Профиль створки двери компланарной</t>
  </si>
  <si>
    <t>2-01-6316-60-9016</t>
  </si>
  <si>
    <t>63 Порог с термо-барьерами 49,1 мм</t>
  </si>
  <si>
    <t>2-01-6332-60-0000</t>
  </si>
  <si>
    <t>по ширине двери: I = W/1000 * Nwin</t>
  </si>
  <si>
    <t>Сухарь 12,0 мм на раму (6301, 6302)</t>
  </si>
  <si>
    <t>2-11-0254-01-0120</t>
  </si>
  <si>
    <t>I = 4 * N_frame_rect * Nwin</t>
  </si>
  <si>
    <t>4 * n_frame_rect * qty</t>
  </si>
  <si>
    <t>Сухарь 19,0 мм на раму (6301, 6302)</t>
  </si>
  <si>
    <t>2-11-0254-01-0190</t>
  </si>
  <si>
    <t>I = N_nodes_19 * Nwin</t>
  </si>
  <si>
    <t>63 Соединитель импоста внутренний 25,4 мм (6302)</t>
  </si>
  <si>
    <t>Соединитель импоста внутренний</t>
  </si>
  <si>
    <t>2-22-6803-00-0000</t>
  </si>
  <si>
    <t>63 Соединитель импоста 25,4 мм (6302)</t>
  </si>
  <si>
    <t>2-11-4243-00-0172</t>
  </si>
  <si>
    <t>I = 2 * N_impost * Nwin</t>
  </si>
  <si>
    <t>Упл 14 для 2287 (130 м) для нижнего зазора створки</t>
  </si>
  <si>
    <t>Уплотнитель створки нижний</t>
  </si>
  <si>
    <t>2-16-0604-00-0300</t>
  </si>
  <si>
    <t>по низу створки: I = SW/1000 * N_sash * Nwin</t>
  </si>
  <si>
    <t>sash_width/1000 * nsash * qty</t>
  </si>
  <si>
    <t>45 Рама компланарной двери RAL7024 мат</t>
  </si>
  <si>
    <t>2-00-2115-60-7024-</t>
  </si>
  <si>
    <t>45 Створка компланарной двери Н/О RAL7024 мат</t>
  </si>
  <si>
    <t>2-00-2116-60-7024-</t>
  </si>
  <si>
    <t>2*(sash_width + sash_height)/1000 * nsash * qty</t>
  </si>
  <si>
    <t>Руит Штапик 10,7 мм RAL7024 мат</t>
  </si>
  <si>
    <t>Штапик двери</t>
  </si>
  <si>
    <t>2-00-2511-60-7024-</t>
  </si>
  <si>
    <t>Направляющий для соединения рам</t>
  </si>
  <si>
    <t>Соединитель рамный</t>
  </si>
  <si>
    <t>2-00-5581-60-0000</t>
  </si>
  <si>
    <t>I = SW/1000*Nwin</t>
  </si>
  <si>
    <t>Соединитель угла Ruit45 (250 шт)</t>
  </si>
  <si>
    <t>Соединитель углов</t>
  </si>
  <si>
    <t>Дверная рама по периметру: I=4*Nwin</t>
  </si>
  <si>
    <t>4 * n_rect * qty</t>
  </si>
  <si>
    <t>Упл СТП-482 (500 м)</t>
  </si>
  <si>
    <t>Уплотнитель створки</t>
  </si>
  <si>
    <t>2-16-0400СТП-00-0500</t>
  </si>
  <si>
    <t>((2*(left+height)/1000 if left&gt;0 else 0) + 2*(sash_width+sash_height)/1000*nsash + (2*(width+top)/1000 if top&gt;0 else 0)) * qty</t>
  </si>
  <si>
    <t>Если СП в двери → I=2*(SW+SH)/1000*N_sash*Nwin</t>
  </si>
  <si>
    <t>Петля подшипниковая трёхсекционная АПП-3М RAL7024 мат БН</t>
  </si>
  <si>
    <t>Петля двери</t>
  </si>
  <si>
    <t>2-10-2340-00-7024-</t>
  </si>
  <si>
    <t>I = Hinges_per_sash*N_sash*Nwin</t>
  </si>
  <si>
    <t>hinges_per_sash * nsash * qty</t>
  </si>
  <si>
    <t>Ручка дверная офисная АРД-02 1000 мм (RAL7024) (8 шт)</t>
  </si>
  <si>
    <t>Ручка двери</t>
  </si>
  <si>
    <t>n_sash_active * qty</t>
  </si>
  <si>
    <t>Замок бочонок 155/30 KALE</t>
  </si>
  <si>
    <t>Замок</t>
  </si>
  <si>
    <t>2-22-1415-00-5530</t>
  </si>
  <si>
    <t>I=N_sash_active*Nwin</t>
  </si>
  <si>
    <t>Сердцевина DORMA 40×40</t>
  </si>
  <si>
    <t>Сердцевина</t>
  </si>
  <si>
    <t>2-22-2432-00-4040</t>
  </si>
  <si>
    <t>Ответная планка Stublina 3096.00</t>
  </si>
  <si>
    <t>Ответка двери</t>
  </si>
  <si>
    <t>2-22-1421-00-0000</t>
  </si>
  <si>
    <t>Накладка MZS60-SH RAL7024</t>
  </si>
  <si>
    <t>Накладка</t>
  </si>
  <si>
    <t>2-10-1454-00-7024-</t>
  </si>
  <si>
    <t>Доводчик</t>
  </si>
  <si>
    <t>63 PREMIUM Адаптер порога RUIT63, комплект компланарный</t>
  </si>
  <si>
    <t>Адаптер порога</t>
  </si>
  <si>
    <t>2-00-5581-60-0000+B4:G26</t>
  </si>
  <si>
    <t>I = Nwin (1 комплект на дверь)</t>
  </si>
  <si>
    <t>63 Ruit Профиль рамы 8019</t>
  </si>
  <si>
    <t>2-01-6312-60-8019</t>
  </si>
  <si>
    <t>63 Ruit Профиль импоста 8019</t>
  </si>
  <si>
    <t>Импост двери</t>
  </si>
  <si>
    <t>2-01-6316-60-8019</t>
  </si>
  <si>
    <t>I = (Lvert+Lhor)*Nwin (как для рамы, но по импостам)</t>
  </si>
  <si>
    <t>(height/1000 if center&gt;0 else 0) * qty</t>
  </si>
  <si>
    <t>63 Ruit Профиль рамы компланарной двери наружного открывания 8019</t>
  </si>
  <si>
    <t>2-00-6326-60-8019</t>
  </si>
  <si>
    <t>63i Ruit Профиль створки компл. двери наружного откр. 8019</t>
  </si>
  <si>
    <t>2-11-2037-01-0065</t>
  </si>
  <si>
    <t>Штапик 19,2 мм RAL8019 (55/63/73)</t>
  </si>
  <si>
    <t>I = P_all*Nwin</t>
  </si>
  <si>
    <t>Петля АПП-3М с нагелями RAL8019</t>
  </si>
  <si>
    <t>2-22-1413-00-0035</t>
  </si>
  <si>
    <t>Дверная нажимная ручка (T-MZS70) RAL8019</t>
  </si>
  <si>
    <t>2-22-2432-00-5535</t>
  </si>
  <si>
    <t>Замок многозапорный MAXBAR Compact (35)</t>
  </si>
  <si>
    <t>Ответная планка многозапорная</t>
  </si>
  <si>
    <t>2-22-1420-00-0000</t>
  </si>
  <si>
    <t>I = N_sash_active*Nwin</t>
  </si>
  <si>
    <t>Фиксатор пассивной створки накладной 220×2×8 мм ELEMENTIS (RAL9016)</t>
  </si>
  <si>
    <t>1 шт в упаковке</t>
  </si>
  <si>
    <t>n_sash_passive * qty</t>
  </si>
  <si>
    <t>Ruit73i Профиль рамы</t>
  </si>
  <si>
    <t>2-73-6312-60-7024-</t>
  </si>
  <si>
    <t>2*(W+H)/1000*Nwin</t>
  </si>
  <si>
    <t>Ruit73i Профиль створки</t>
  </si>
  <si>
    <t>2-73-6316-60-7024-</t>
  </si>
  <si>
    <t>2*(SW+SH)/1000*N_sash*Nwin</t>
  </si>
  <si>
    <t>73 Штульп двери</t>
  </si>
  <si>
    <t>2-73-6318-60-7024-</t>
  </si>
  <si>
    <t>SH/1000*Nwin</t>
  </si>
  <si>
    <t>Штапик 19,2 мм RAL7024</t>
  </si>
  <si>
    <t>2-00-6326-60-7024-</t>
  </si>
  <si>
    <t>Сухарь 6,5 мм</t>
  </si>
  <si>
    <t>I = N_nodes_6_5 * Nwin</t>
  </si>
  <si>
    <t>n_nodes_6_5 * qty</t>
  </si>
  <si>
    <t>Направляющий угол нерж.</t>
  </si>
  <si>
    <t>4*N_rect*Nwin</t>
  </si>
  <si>
    <t>Сухарь 17,2 мм</t>
  </si>
  <si>
    <t>I = N_nodes_17_2 * Nwin</t>
  </si>
  <si>
    <t>n_nodes_17_2 * qty</t>
  </si>
  <si>
    <t>Упл СТП-482</t>
  </si>
  <si>
    <t>2*(sash_width+sash_height)/1000 * nsash * qty</t>
  </si>
  <si>
    <t>Упл 6-2 под штапик</t>
  </si>
  <si>
    <t>Упл 7 на раму</t>
  </si>
  <si>
    <t>Уплотнитель рамы</t>
  </si>
  <si>
    <t>Упл 8-3 под СП</t>
  </si>
  <si>
    <t>Уплотнитель СП</t>
  </si>
  <si>
    <t>Петля АПП-3М RAL7024</t>
  </si>
  <si>
    <t>2-10-2338-00-7024-</t>
  </si>
  <si>
    <t>Hinges_per_sash*N_sash*Nwin</t>
  </si>
  <si>
    <t>Ручка АРД-02 RAL7024</t>
  </si>
  <si>
    <t>N_sash_active*Nwin</t>
  </si>
  <si>
    <t>Замок бочонок 155P/35P</t>
  </si>
  <si>
    <t>Сердцевина DORMA 35×65</t>
  </si>
  <si>
    <t>Комплект ответной планки Ruit</t>
  </si>
  <si>
    <t>Ответная планка</t>
  </si>
  <si>
    <t>Накладка на сердцевину 7024</t>
  </si>
  <si>
    <t>2-10-1462-00-9005</t>
  </si>
  <si>
    <t>N_sash_passive*Nwin</t>
  </si>
  <si>
    <t>73-(73-6318) Крышка штульпа</t>
  </si>
  <si>
    <t>2-22-0038-00-7300</t>
  </si>
  <si>
    <t>2*N_sash_passive*Nwin</t>
  </si>
  <si>
    <t>2 * n_sash_passive * qty</t>
  </si>
  <si>
    <t>Ruit73i профиль рамы</t>
  </si>
  <si>
    <t>Ruit73i профиль створки</t>
  </si>
  <si>
    <t>73 Порог 59,3 мм</t>
  </si>
  <si>
    <t>2-73-6333-60-0000</t>
  </si>
  <si>
    <t>W/1000*Nwin</t>
  </si>
  <si>
    <t>Упл 6-2</t>
  </si>
  <si>
    <t>Упл 7</t>
  </si>
  <si>
    <t>Упл 8-3</t>
  </si>
  <si>
    <t>Петля АПП-3М чёрная</t>
  </si>
  <si>
    <t>2-10-2338-00-9005-</t>
  </si>
  <si>
    <t>Ручка АРД-02 RAL9005</t>
  </si>
  <si>
    <t>Накладка на сердцевину 9005</t>
  </si>
  <si>
    <t>2-10-1452-00-9005-</t>
  </si>
  <si>
    <t>73 Адаптер порога Ruit73i компланарный (73-6333)</t>
  </si>
  <si>
    <t>2-22-0026-00-0073</t>
  </si>
  <si>
    <t>I = Nwin (1 адаптер на одну дверь)</t>
  </si>
  <si>
    <t>Сухарь 32,5 мм (2115) новый дизайн</t>
  </si>
  <si>
    <t>2-11-2037-01-0325</t>
  </si>
  <si>
    <t>Сухарь 41,0 мм (2116,2117) новый дизайн</t>
  </si>
  <si>
    <t>2-11-2037-01-0410</t>
  </si>
  <si>
    <t>Сухарь 42,0 мм (2160,2163) новый дизайн</t>
  </si>
  <si>
    <t>I = N_nodes_42 * Nwin</t>
  </si>
  <si>
    <t>n_nodes_42 * qty</t>
  </si>
  <si>
    <t>Тип стеклопакета</t>
  </si>
  <si>
    <t>Стоимость стеклопакета за квадратный метр</t>
  </si>
  <si>
    <t>Нарезка</t>
  </si>
  <si>
    <t>Тонировка</t>
  </si>
  <si>
    <t>Стоимость тонировки за квадратный метр</t>
  </si>
  <si>
    <t>Сборка</t>
  </si>
  <si>
    <t>Стоимость сборки за квадратный метр</t>
  </si>
  <si>
    <t>Монтаж</t>
  </si>
  <si>
    <t>Стоимость монтаж  за квадратный метр</t>
  </si>
  <si>
    <t>двойной</t>
  </si>
  <si>
    <t>4мм</t>
  </si>
  <si>
    <t>Есть</t>
  </si>
  <si>
    <t>тройной</t>
  </si>
  <si>
    <t>Нет</t>
  </si>
  <si>
    <t>энергодвойной</t>
  </si>
  <si>
    <t>энерготройной</t>
  </si>
  <si>
    <t>Формула (логика, на 1 изделие)</t>
  </si>
  <si>
    <t>Комментарий</t>
  </si>
  <si>
    <t>2*(width + height)/1000</t>
  </si>
  <si>
    <t>Импост вертикальный</t>
  </si>
  <si>
    <t>Импост горизонтальный</t>
  </si>
  <si>
    <t>Профиль створки (на изделие)</t>
  </si>
  <si>
    <t>Периметр всех створок</t>
  </si>
  <si>
    <t>Периметр изделия</t>
  </si>
  <si>
    <t>Стекло глухое</t>
  </si>
  <si>
    <t>Стекло створки</t>
  </si>
  <si>
    <t>Стекло фрамуги</t>
  </si>
  <si>
    <t>Общая площадь изделия</t>
  </si>
  <si>
    <t>Периметр одной створки</t>
  </si>
  <si>
    <t>2*(sash_width + sash_height)/1000</t>
  </si>
  <si>
    <t>Штапик общий (глух+створка+фрамуга)</t>
  </si>
  <si>
    <t>Уплотнитель рамы под СП</t>
  </si>
  <si>
    <t>Количество прямоугольников N_rect</t>
  </si>
  <si>
    <t>Петля дверь/окно</t>
  </si>
  <si>
    <t>Ручка дверная</t>
  </si>
  <si>
    <t>Замок / сердцевина / ответка</t>
  </si>
  <si>
    <t>Комплект "на изделие"</t>
  </si>
  <si>
    <t>Элемент «штучный»</t>
  </si>
  <si>
    <t>Номер заказа</t>
  </si>
  <si>
    <t>№ позиции</t>
  </si>
  <si>
    <t>Тип изделия</t>
  </si>
  <si>
    <t>Вид изделия</t>
  </si>
  <si>
    <t>Створки</t>
  </si>
  <si>
    <t>Профильная система</t>
  </si>
  <si>
    <t>Толщина стеклопакета</t>
  </si>
  <si>
    <t>Заполнение</t>
  </si>
  <si>
    <t>Ширина, мм</t>
  </si>
  <si>
    <t>Высота, мм</t>
  </si>
  <si>
    <t>LEFT, мм</t>
  </si>
  <si>
    <t>CENTER, мм</t>
  </si>
  <si>
    <t>RIGHT, мм</t>
  </si>
  <si>
    <t>TOP, мм</t>
  </si>
  <si>
    <t>Ширина створки, мм</t>
  </si>
  <si>
    <t>Высота створки, мм</t>
  </si>
  <si>
    <t>Кол-во Nwin</t>
  </si>
  <si>
    <t>1</t>
  </si>
  <si>
    <t>С фрамугой</t>
  </si>
  <si>
    <t>32 мм</t>
  </si>
  <si>
    <t>СПО</t>
  </si>
  <si>
    <t>2</t>
  </si>
  <si>
    <t>3</t>
  </si>
  <si>
    <t>4</t>
  </si>
  <si>
    <t>Стандарт</t>
  </si>
  <si>
    <t>12</t>
  </si>
  <si>
    <t>11</t>
  </si>
  <si>
    <t>13</t>
  </si>
  <si>
    <t>Фактическое значение</t>
  </si>
  <si>
    <t>Цена за ед.</t>
  </si>
  <si>
    <t>Кол-во фактического расхода (J)</t>
  </si>
  <si>
    <t>Норма к упаковке</t>
  </si>
  <si>
    <t>Ед. к отгрузке</t>
  </si>
  <si>
    <t>Кол-во к отгрузке</t>
  </si>
  <si>
    <t>Сумма</t>
  </si>
  <si>
    <t>Наименование услуг</t>
  </si>
  <si>
    <t>Стоимость за м²</t>
  </si>
  <si>
    <t>Ед</t>
  </si>
  <si>
    <t>Итого</t>
  </si>
  <si>
    <t>Стеклопакет</t>
  </si>
  <si>
    <t>за м²</t>
  </si>
  <si>
    <t>Материал</t>
  </si>
  <si>
    <t>-</t>
  </si>
  <si>
    <t>Обеспечение</t>
  </si>
  <si>
    <t>ИТОГО</t>
  </si>
  <si>
    <t>Одинарный 4мм</t>
  </si>
  <si>
    <t>Одинарный 6мм</t>
  </si>
  <si>
    <t>Одинарный 4мм закал</t>
  </si>
  <si>
    <t>Одинарный 6мм закал</t>
  </si>
  <si>
    <t>Логин</t>
  </si>
  <si>
    <t>Пароль</t>
  </si>
  <si>
    <t>Роль</t>
  </si>
  <si>
    <t>admin</t>
  </si>
  <si>
    <t>user</t>
  </si>
  <si>
    <t>airiskanat@gmail.com</t>
  </si>
  <si>
    <t>aizhanaitmaganbetova383@gmail.com</t>
  </si>
  <si>
    <t>lia-369@mail.ru</t>
  </si>
  <si>
    <t>orazaliyeva865@gmail.com</t>
  </si>
  <si>
    <t>axisokna.kz@mail.ru</t>
  </si>
  <si>
    <t>Тамбур</t>
  </si>
  <si>
    <t>Ruit Профиль четверти дверной створки RAL 7024 мат</t>
  </si>
  <si>
    <t>2-00-2217-60-7024-</t>
  </si>
  <si>
    <t>Соединительный профиль</t>
  </si>
  <si>
    <t>63 Руит Профиль рамы 7024 мат (5,95 м)</t>
  </si>
  <si>
    <t>2-01-6301-60-7024-</t>
  </si>
  <si>
    <t>6 277</t>
  </si>
  <si>
    <t>63 Руит Профиль импоста 7024 мат</t>
  </si>
  <si>
    <t>Импост</t>
  </si>
  <si>
    <t>I = (N_imp_vert*H + N_imp_hor*W)/1000 * Nwin</t>
  </si>
  <si>
    <t>2-01-6302-60-7024-</t>
  </si>
  <si>
    <t>6 989</t>
  </si>
  <si>
    <t>Ruit-63i Профиль проворотного угла 90 RAL 7024 мат</t>
  </si>
  <si>
    <t>Угловой стойковый профиль (поворот угла)</t>
  </si>
  <si>
    <t>I = H/1000 * N_corners * Nwin</t>
  </si>
  <si>
    <t>2-01-6306-60-7024-</t>
  </si>
  <si>
    <t>6 186</t>
  </si>
  <si>
    <t>63i Руит Профиль рамы компланарной двери наружного открывания 7024 мат</t>
  </si>
  <si>
    <t>2-01-6312-60-7024-</t>
  </si>
  <si>
    <t>7 827</t>
  </si>
  <si>
    <t>2*(sash_width + sash_height)/1000 * n_sash * qty</t>
  </si>
  <si>
    <t>63 Руит Дверная створка кампланарная наруж.открывания 7024 мат</t>
  </si>
  <si>
    <t>Створочный профиль</t>
  </si>
  <si>
    <t>2-01-6316-60-7024-</t>
  </si>
  <si>
    <t>8 225</t>
  </si>
  <si>
    <t>63 Руит Профиль штульпа компланарной двери RAL 7024 мат</t>
  </si>
  <si>
    <t>Штульповый профиль</t>
  </si>
  <si>
    <t>I = SH/1000 * N_sash_passive * Nwin</t>
  </si>
  <si>
    <t>2-01-6318-45-7024-</t>
  </si>
  <si>
    <t>5 146</t>
  </si>
  <si>
    <t>Штапик 19,2 мм RAL 7024 мат (55с- 24-26мм/ 63c- 32-34мм/ 73c-</t>
  </si>
  <si>
    <t>Штапик</t>
  </si>
  <si>
    <t>glass_perimeter * qty</t>
  </si>
  <si>
    <t>I = SW/1000 * N_sash * Nwin</t>
  </si>
  <si>
    <t>3 952</t>
  </si>
  <si>
    <t>sash_width/1000 * n_sash * qty</t>
  </si>
  <si>
    <t>Сухарь 6,5 мм (6312,6314,6316,6317) новый дизайн</t>
  </si>
  <si>
    <t>Сухарь 12,0 мм на раму (6301,6302) новый дизайн</t>
  </si>
  <si>
    <t>Сухарь на раму</t>
  </si>
  <si>
    <t>Сухарь 19,0 мм на раму (6301,6302) новый дизайн</t>
  </si>
  <si>
    <t>Соединитель импоста (внутренний)</t>
  </si>
  <si>
    <t>2-11-6337-00-0254</t>
  </si>
  <si>
    <t>2-11-6352-00-0254</t>
  </si>
  <si>
    <t>Направляющий угла нержавейка для Ruit-55i / Ruit-63i/ Ruit-73i</t>
  </si>
  <si>
    <t>Угловой направляющий</t>
  </si>
  <si>
    <t>Сухарь 17,2 мм (6312,6314,6316,6317)</t>
  </si>
  <si>
    <t>Уплотнитель нижний</t>
  </si>
  <si>
    <t>2-16-1400-00-0030</t>
  </si>
  <si>
    <t>Упл СТП-482 (500м) на прижим (вместо упл4 на двери)</t>
  </si>
  <si>
    <t>Уплотнитель контура створки</t>
  </si>
  <si>
    <t>Упл 6-4 под штапик 4 мм (200) (200 м, Secil)</t>
  </si>
  <si>
    <t>I = P_СП * Nwin</t>
  </si>
  <si>
    <t>Упл 8-3 под стеклопакет 3мм (250 м)</t>
  </si>
  <si>
    <t>I = P_SP * Nwin</t>
  </si>
  <si>
    <t>glass_perimeter_sp * qty</t>
  </si>
  <si>
    <t>Петля подшипниковая 3-секц. АПП-3М RAL7024</t>
  </si>
  <si>
    <t>Петля дверная</t>
  </si>
  <si>
    <t>8 959</t>
  </si>
  <si>
    <t>3 * n_sash * qty</t>
  </si>
  <si>
    <t>Ручка дверная офисная АРД-02 1000мм (упак. 8шт)</t>
  </si>
  <si>
    <t>комплек</t>
  </si>
  <si>
    <t>12 977</t>
  </si>
  <si>
    <t>Замок бочонок 155P/35P KALE</t>
  </si>
  <si>
    <t>3 429</t>
  </si>
  <si>
    <t>Сердцевина замка DORMA никель (35x55) (30х10х50)</t>
  </si>
  <si>
    <t>Сердцевина замка</t>
  </si>
  <si>
    <t>3 531</t>
  </si>
  <si>
    <t>Комплект ответной планки Ruit для замка на компл.двери (подкладки, отв.планка, карман, шурупы)</t>
  </si>
  <si>
    <t>Комплект ответной планки замка</t>
  </si>
  <si>
    <t>3 120</t>
  </si>
  <si>
    <t>Накладка на сердцевину (MZS60-SH) Ral 7024 (LCNH16)</t>
  </si>
  <si>
    <t>Накладка на цилиндр</t>
  </si>
  <si>
    <t>1 336</t>
  </si>
  <si>
    <t>Фиксатор пассивной створки накладной 220*2*8 мм ELEMENTIS с ответной планкой RAL 9005</t>
  </si>
  <si>
    <t>2 505</t>
  </si>
  <si>
    <t>63- (6318) Крышка для штульпа верх/низ Руит 63 компланарный</t>
  </si>
  <si>
    <t>2-22-0038-00-6300</t>
  </si>
  <si>
    <t>2 448</t>
  </si>
  <si>
    <t>63 PREMIUM Адаптер порога RUIT 63, комплект компланарный</t>
  </si>
  <si>
    <t>Адаптер порога (комплект)</t>
  </si>
  <si>
    <t>2-22-0026-00-0063</t>
  </si>
  <si>
    <t>45 Руит Поворот 90° RAL 9016</t>
  </si>
  <si>
    <t>Угловой поворотный профиль</t>
  </si>
  <si>
    <t>I = H/1000 * Nwin</t>
  </si>
  <si>
    <t>2-00-2010-60-9016</t>
  </si>
  <si>
    <t>2 039</t>
  </si>
  <si>
    <t>Порог дверной</t>
  </si>
  <si>
    <t>2 335</t>
  </si>
  <si>
    <t>45 Рама компланарной двери RAL 9016</t>
  </si>
  <si>
    <t>Рама двери</t>
  </si>
  <si>
    <t>I = 2·(SW+SH)/1000 * N_sash * Nwin</t>
  </si>
  <si>
    <t>3 086</t>
  </si>
  <si>
    <t>45 Створка компланарной двери Н/О RAL 9016</t>
  </si>
  <si>
    <t>4 078</t>
  </si>
  <si>
    <t>Рамный контур</t>
  </si>
  <si>
    <t>I = 2·(W+H)/1000 * Nwin</t>
  </si>
  <si>
    <t>3 435</t>
  </si>
  <si>
    <t>I = (N_imp_vert·H + N_imp_hor·W)/1000 * Nwin</t>
  </si>
  <si>
    <t>4 029</t>
  </si>
  <si>
    <t>Соединитель рам</t>
  </si>
  <si>
    <t>I = W/1000 * Nwin</t>
  </si>
  <si>
    <t>Соединитель импоста 35 мм (2160.2163)</t>
  </si>
  <si>
    <t>I = 2·N_imp_vert * Nwin</t>
  </si>
  <si>
    <t>Сухарь угловой рамный</t>
  </si>
  <si>
    <t>I = 4·Nwin (1 рама = 4 угла)</t>
  </si>
  <si>
    <t>Сухарь импостовый</t>
  </si>
  <si>
    <t>I = 4·(N_imp_vert+N_imp_hor) * Nwin</t>
  </si>
  <si>
    <t>Сухарь усилительный</t>
  </si>
  <si>
    <t>Соеденитель угла нержавейка Ruit 45 (250 шт)</t>
  </si>
  <si>
    <t>Угловой соединитель</t>
  </si>
  <si>
    <t>I = 4·Nwin</t>
  </si>
  <si>
    <t>Уплотнитель прижимной</t>
  </si>
  <si>
    <t>I = 2·(SW+SH)/1000·N_sash * Nwin</t>
  </si>
  <si>
    <t>Упл 6-3 под штапик 3мм (280м) (280 м, 10)</t>
  </si>
  <si>
    <t>Упл 8-3 под стеклопакет 3мм (250) (250 м, 10)</t>
  </si>
  <si>
    <t>Уплотнитель стеклопакета</t>
  </si>
  <si>
    <t>Петля подшипниковая трехсекционная АПП-3 М RAL 9016 БН</t>
  </si>
  <si>
    <t>I = 3·N_sash·Nwin</t>
  </si>
  <si>
    <t>2-10-2340-00-9016</t>
  </si>
  <si>
    <t>I = 1·N_sash_active·Nwin</t>
  </si>
  <si>
    <t>Замок бочонок 155/30 КАLE без барели</t>
  </si>
  <si>
    <t>Сердцевина замка DORMA 40х40 (по центру)</t>
  </si>
  <si>
    <t>Цилиндр</t>
  </si>
  <si>
    <t>3 247</t>
  </si>
  <si>
    <t>Ответка замка</t>
  </si>
  <si>
    <t>2 699</t>
  </si>
  <si>
    <t>Накладка на сердцевину замка RAL 9016 (UYAR)</t>
  </si>
  <si>
    <t>Декоративная накладка</t>
  </si>
  <si>
    <t>2-10-1452-00-9016</t>
  </si>
  <si>
    <t>Упл 14 для 2287 (130) применяется для тепло - и шумоизоляции нижнего зазора дверной створки (130 м,10)</t>
  </si>
  <si>
    <t>Ответная планка (С Коробом Под Замок 3096.00) универсальная Stublina</t>
  </si>
  <si>
    <t>Петля подшипниковая трехсекционная АПП-3 М с нагелями RAL 7024</t>
  </si>
  <si>
    <t>Навес</t>
  </si>
  <si>
    <t>I = 3 · N_sash · Nwin</t>
  </si>
  <si>
    <t>Петля подшипниковая трехсекционная АПП-3 М RAL 7024 мат БН</t>
  </si>
  <si>
    <t>Петля подшипниковая двухсекционная АПП-2 М с нагелями RAL 7024 матовый</t>
  </si>
  <si>
    <t>2-10-2337-00-7024-</t>
  </si>
  <si>
    <t>I = 2 · N_sash · Nwin</t>
  </si>
  <si>
    <t>6 136</t>
  </si>
  <si>
    <t>Петля подшипниковая двухсекционная АПП-2 М RAL 7024 матовый</t>
  </si>
  <si>
    <t>2-10-2339-00-7024-</t>
  </si>
  <si>
    <t>Петля подшипниковая трехсекционная U3-P1А с нагелями RAL 7024 мат</t>
  </si>
  <si>
    <t>2-10-2338U-00-7024-</t>
  </si>
  <si>
    <t>6 925</t>
  </si>
  <si>
    <t>Петля подшипниковая трехсекционная U3-P1 RAL 7024 мат БН</t>
  </si>
  <si>
    <t>2-10-2340U-00-7024-</t>
  </si>
  <si>
    <t>Дверной навес аксиальный IKAR 9005 (UYAR)</t>
  </si>
  <si>
    <t>2-10-1306-00-9005-1</t>
  </si>
  <si>
    <t>I = 2 · N_sash · Nwin (обычно 2 аксиальных на створку)</t>
  </si>
  <si>
    <t>3 800</t>
  </si>
  <si>
    <t>Навес ДВЕРНОЙ (Т-MJ37) Аксиальный Ral 7024 mat (LCNH16)</t>
  </si>
  <si>
    <t>2-10-1305-00-7024-</t>
  </si>
  <si>
    <t>3 323</t>
  </si>
  <si>
    <t>Навес Оконный (LCJ15) аксиальный Ral 8019</t>
  </si>
  <si>
    <t>2-10-1304-00-8019</t>
  </si>
  <si>
    <t>1 503</t>
  </si>
  <si>
    <t>Оконный-дверной навес аксиальный (LCNH16) N2C 80 кг (KINLONG)</t>
  </si>
  <si>
    <t>2-10-2324-00-7024-</t>
  </si>
  <si>
    <t>3*n_sash*qty</t>
  </si>
  <si>
    <t>2*n_sash*qty</t>
  </si>
  <si>
    <t>Петля подшипниковая трехсекционная АПП-3 М с нагелями RAL 7024 матовый</t>
  </si>
  <si>
    <t>I = 1</t>
  </si>
  <si>
    <t>I = 1·N_sash_active·1</t>
  </si>
  <si>
    <t>I = N_sash_active</t>
  </si>
  <si>
    <t>I = (Lvert+Lhor) (как для рамы, но по импостам)</t>
  </si>
  <si>
    <t>(height/1000 if center&gt;0 else 0)</t>
  </si>
  <si>
    <t>I = 1 * N_sash_active</t>
  </si>
  <si>
    <t>n_sash_active</t>
  </si>
  <si>
    <t>I = (W/1000)  (м)</t>
  </si>
  <si>
    <t>width/1000</t>
  </si>
  <si>
    <t>I=N_sash_active</t>
  </si>
  <si>
    <t>N_sash_active</t>
  </si>
  <si>
    <t>I = SW/1000 * N_sash</t>
  </si>
  <si>
    <t>I = 2*(SW+SH)/1000 * N_sash</t>
  </si>
  <si>
    <t>I = 2·(SW+SH)/1000 * N_sash</t>
  </si>
  <si>
    <t>I = 2·(W+H)/1000</t>
  </si>
  <si>
    <t>та же логика: I = 2*(W+H)/1000</t>
  </si>
  <si>
    <t>I = 2 * N_impost  (2 конца на каждый импост)</t>
  </si>
  <si>
    <t>2 * n_impost</t>
  </si>
  <si>
    <t>I = 2 * N_impost  (2 конца на импост)</t>
  </si>
  <si>
    <t>I = W/1000</t>
  </si>
  <si>
    <t>I = SW/1000</t>
  </si>
  <si>
    <t>Дверная рама по периметру: I=4</t>
  </si>
  <si>
    <t>4 * n_rect</t>
  </si>
  <si>
    <t>I = W/1000  (по ширине соединения рам)</t>
  </si>
  <si>
    <t>I = 4·(N_imp_vert+N_imp_hor)</t>
  </si>
  <si>
    <t>I = 4 * N_frame_rect  (по 4 на прямоугольную раму)</t>
  </si>
  <si>
    <t>4 * n_frame_rect</t>
  </si>
  <si>
    <t>I = 4·1 (1 рама = 4 угла)</t>
  </si>
  <si>
    <t>I = N_nodes_42  (если штульп/усиление)</t>
  </si>
  <si>
    <t>I = N_nodes_42</t>
  </si>
  <si>
    <t>I = 4 * N_rect  (по 4 на прямоугольный контур)</t>
  </si>
  <si>
    <t>I = H/1000</t>
  </si>
  <si>
    <t>I = 4·1</t>
  </si>
  <si>
    <t>I = H/1000 * N_corners</t>
  </si>
  <si>
    <t>height/1000 * n_corners</t>
  </si>
  <si>
    <t>I = N_corners</t>
  </si>
  <si>
    <t>n_corners</t>
  </si>
  <si>
    <t>2*(SW+SH)/1000*N_sash</t>
  </si>
  <si>
    <t>((2*(left+height)/1000 if left&gt;0 else 0) + 2*(sash_width+sash_height)/1000*nsash + (2*(width+top)/1000 if top&gt;0 else 0))</t>
  </si>
  <si>
    <t>2*(sash_width + sash_height)/1000 * n_sash</t>
  </si>
  <si>
    <t>sash_width/1000 * n_sash</t>
  </si>
  <si>
    <t>I = 2·(SW+SH)/1000·N_sash</t>
  </si>
  <si>
    <t>I = 2*(W+H)/1000</t>
  </si>
  <si>
    <t>sash_width/1000 * nsash</t>
  </si>
  <si>
    <t>I = P_SP</t>
  </si>
  <si>
    <t>I = N_open_sash  (шт) — N_open_sash = кол-во створок с мувилем в твоей форме</t>
  </si>
  <si>
    <t>((2*(left + height)/1000 if left&gt;0 else 0) + 2*(sash_width + sash_height)/1000 + (2*(width + top)/1000 if top&gt;0 else 0))</t>
  </si>
  <si>
    <t>I = SH/1000 * N_sash_passive</t>
  </si>
  <si>
    <t>sash_height/1000 * n_sash_passive</t>
  </si>
  <si>
    <t>Комплект адаптера порога</t>
  </si>
  <si>
    <t>Декоративные накладки на изделие/створку</t>
  </si>
  <si>
    <t>Комплект дверного замка на активную створку</t>
  </si>
  <si>
    <t>Суммарная длина дверных импостов</t>
  </si>
  <si>
    <t>Комплект ответных планок замка на активную створку</t>
  </si>
  <si>
    <t>Расход элемента на одно изделие</t>
  </si>
  <si>
    <t>Длина накладного профиля по ширине изделия</t>
  </si>
  <si>
    <t>Ответная планка дверного замка</t>
  </si>
  <si>
    <t>Периметр дверной створки</t>
  </si>
  <si>
    <t>Периметр дверной рамы</t>
  </si>
  <si>
    <t>Сердцевина замка на активную створку</t>
  </si>
  <si>
    <t>Длина импоста (вертикальные и горизонтальные разделители)</t>
  </si>
  <si>
    <t>Сухари для крепления импостов/профилей</t>
  </si>
  <si>
    <t>Угловые элементы уплотнения</t>
  </si>
  <si>
    <t>Площадь стекла/стеклопакета</t>
  </si>
  <si>
    <t>Периметр штапика для удержания стеклопакета</t>
  </si>
  <si>
    <t>Штульповой профиль пассивной створки двери</t>
  </si>
  <si>
    <t xml:space="preserve"> I = SW/1000 * N_sash</t>
  </si>
  <si>
    <t xml:space="preserve"> Pfix = IF(LEFT&gt;0; 2*(LEFT + (H - TOP))/1000; 0) створка: Psash = 2*(SW + SH)/1000 (если есть створка) фрамуга: Ptop = IF(TOP&gt;0; 2*(W + TOP)/1000; 0)  Итого: I = (Pfix + Psash + Ptop)  (м)</t>
  </si>
  <si>
    <t>I = 2*SH/1000 * N_sash * Nwin</t>
  </si>
  <si>
    <t>Сложный монтаж</t>
  </si>
  <si>
    <t xml:space="preserve">Монтаж </t>
  </si>
  <si>
    <t>Демонтаж/Монтаж</t>
  </si>
  <si>
    <t>Стоимость ручки за шт</t>
  </si>
  <si>
    <t>Тип  ручки</t>
  </si>
  <si>
    <t xml:space="preserve">Нет </t>
  </si>
  <si>
    <t>Стоимость за шт доводчика</t>
  </si>
  <si>
    <t>sum([2*door_height[i]/1000 for i in range(door_count)])</t>
  </si>
  <si>
    <t>sum([door_width[i]/1000 for i in range(door_count)]) + sum([blind_width[i]/1000 for i in range(blind_count)])</t>
  </si>
  <si>
    <t>sum([2*(door_width[i]+door_height[i])/1000 for i in range(door_count)]) + sum([2*(blind_width[i]+blind_height[i])/1000 for i in range(blind_count)])</t>
  </si>
  <si>
    <t>sum([blind_height[i]/1000 for i in range(blind_count)]) + sum([door_height[i]/1000 for i in range(door_count)])</t>
  </si>
  <si>
    <t>sum([door_height[i]/1000 for i in range(door_count)]) + sum([blind_height[i]/1000 for i in range(blind_count)])</t>
  </si>
  <si>
    <t>sum([2*(door_width[i]+door_height[i])/1000 for i in range(door_count)])</t>
  </si>
  <si>
    <t>sum([door_height[i]/1000 for i in range(door_count)])</t>
  </si>
  <si>
    <t>sum([2*(blind_width[i]+blind_height[i])/1000 for i in range(blind_count)]) * 2</t>
  </si>
  <si>
    <t>sum([door_width[i]/1000 for i in range(door_count)])</t>
  </si>
  <si>
    <t>blind_count + door_count</t>
  </si>
  <si>
    <t>door_count*4 + blind_count*4</t>
  </si>
  <si>
    <t>door_count + blind_count</t>
  </si>
  <si>
    <t>blind_count * 2</t>
  </si>
  <si>
    <t>4 * (door_count + blind_count)</t>
  </si>
  <si>
    <t>sum([2*(blind_width[i]+blind_height[i])/1000 for i in range(blind_count)])</t>
  </si>
  <si>
    <t>3 * door_count</t>
  </si>
  <si>
    <t>1 * door_count</t>
  </si>
  <si>
    <t>door_count - 1 if door_count&gt;1 else 0</t>
  </si>
  <si>
    <t>2*(door_count - 1 if door_count&gt;1 else 0)</t>
  </si>
  <si>
    <t>door_count</t>
  </si>
  <si>
    <t>2 * blind_count</t>
  </si>
  <si>
    <t>4 * blind_count</t>
  </si>
  <si>
    <t>blind_count</t>
  </si>
  <si>
    <t>2 * door_count</t>
  </si>
  <si>
    <t>Новая Формула_Python</t>
  </si>
  <si>
    <t>Ламбри без термо</t>
  </si>
  <si>
    <t>Ламбри с термо</t>
  </si>
  <si>
    <t>QWER2020</t>
  </si>
  <si>
    <t>QWER123</t>
  </si>
  <si>
    <t>Qwer890</t>
  </si>
  <si>
    <t>Qwer567</t>
  </si>
  <si>
    <t>Qwer234</t>
  </si>
  <si>
    <t>Панели</t>
  </si>
  <si>
    <t>Стоимость Панелей за 1 м в 6 м хлысте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</si>
</sst>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entury Gothic"/>
      <family val="1"/>
    </font>
    <font>
      <sz val="14"/>
      <color rgb="FF000000"/>
      <name val="-webkit-standard"/>
    </font>
    <font>
      <sz val="10"/>
      <color rgb="FF000000"/>
      <name val="Arial Unicode MS"/>
      <family val="2"/>
    </font>
    <font>
      <sz val="12"/>
      <color rgb="FF1F1F1F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2" borderId="0" xfId="0" applyFont="1" applyFill="1"/>
    <xf numFmtId="0" fontId="7" fillId="0" borderId="0" xfId="0" applyFont="1"/>
    <xf numFmtId="0" fontId="8" fillId="0" borderId="0" xfId="0" applyFont="1" applyAlignment="1">
      <alignment horizontal="left" vertical="top"/>
    </xf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  <xf numFmtId="0" fontId="12" fillId="0" borderId="0" xfId="0" applyFont="1"/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shrinkToFi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ia-369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8"/>
  <sheetViews>
    <sheetView workbookViewId="0">
      <pane ySplit="1" topLeftCell="A198" activePane="bottomLeft" state="frozen"/>
      <selection pane="bottomLeft" activeCell="A215" sqref="A215:XFD216"/>
    </sheetView>
  </sheetViews>
  <sheetFormatPr baseColWidth="10" defaultColWidth="12.6640625" defaultRowHeight="15.75" customHeight="1"/>
  <cols>
    <col min="1" max="1" width="9.6640625" customWidth="1"/>
    <col min="2" max="2" width="17.33203125" customWidth="1"/>
    <col min="3" max="3" width="37.6640625" customWidth="1"/>
    <col min="4" max="4" width="35.5" customWidth="1"/>
    <col min="5" max="5" width="17.6640625" customWidth="1"/>
    <col min="6" max="6" width="17.5" customWidth="1"/>
    <col min="7" max="7" width="12.6640625" style="32"/>
    <col min="8" max="8" width="12.6640625" style="25"/>
    <col min="9" max="9" width="12.6640625" style="32" customWidth="1"/>
    <col min="15" max="15" width="25.83203125" customWidth="1"/>
  </cols>
  <sheetData>
    <row r="1" spans="1:25" ht="4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29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6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7" t="s">
        <v>15</v>
      </c>
      <c r="B2" s="7" t="s">
        <v>16</v>
      </c>
      <c r="C2" s="7" t="s">
        <v>17</v>
      </c>
      <c r="D2" s="8" t="s">
        <v>18</v>
      </c>
      <c r="E2" s="7" t="s">
        <v>19</v>
      </c>
      <c r="F2" s="7" t="s">
        <v>20</v>
      </c>
      <c r="G2" s="8" t="s">
        <v>21</v>
      </c>
      <c r="H2" s="24">
        <v>594</v>
      </c>
      <c r="I2" s="8" t="s">
        <v>21</v>
      </c>
      <c r="K2" s="7">
        <v>6</v>
      </c>
      <c r="L2" s="8" t="s">
        <v>22</v>
      </c>
      <c r="M2" s="7">
        <v>0</v>
      </c>
      <c r="N2" s="10">
        <v>0</v>
      </c>
      <c r="O2" s="11" t="s">
        <v>23</v>
      </c>
    </row>
    <row r="3" spans="1:25" ht="15.75" customHeight="1">
      <c r="A3" s="7" t="s">
        <v>15</v>
      </c>
      <c r="B3" s="7" t="s">
        <v>16</v>
      </c>
      <c r="C3" s="7" t="s">
        <v>24</v>
      </c>
      <c r="D3" s="8" t="s">
        <v>25</v>
      </c>
      <c r="E3" s="7" t="s">
        <v>26</v>
      </c>
      <c r="F3" s="7" t="s">
        <v>27</v>
      </c>
      <c r="G3" s="8" t="s">
        <v>21</v>
      </c>
      <c r="H3" s="24">
        <v>3435</v>
      </c>
      <c r="I3" s="8" t="s">
        <v>21</v>
      </c>
      <c r="K3" s="7">
        <v>6</v>
      </c>
      <c r="L3" s="8" t="s">
        <v>22</v>
      </c>
      <c r="M3" s="7">
        <v>0</v>
      </c>
      <c r="N3" s="10">
        <v>0</v>
      </c>
      <c r="O3" s="11" t="s">
        <v>28</v>
      </c>
    </row>
    <row r="4" spans="1:25" ht="15.75" customHeight="1">
      <c r="A4" s="7" t="s">
        <v>15</v>
      </c>
      <c r="B4" s="7" t="s">
        <v>16</v>
      </c>
      <c r="C4" s="7" t="s">
        <v>29</v>
      </c>
      <c r="D4" s="8" t="s">
        <v>30</v>
      </c>
      <c r="E4" s="7" t="s">
        <v>31</v>
      </c>
      <c r="F4" s="7" t="s">
        <v>32</v>
      </c>
      <c r="G4" s="8" t="s">
        <v>21</v>
      </c>
      <c r="H4" s="24">
        <v>6962</v>
      </c>
      <c r="I4" s="8" t="s">
        <v>21</v>
      </c>
      <c r="K4" s="7">
        <v>6</v>
      </c>
      <c r="L4" s="8" t="s">
        <v>22</v>
      </c>
      <c r="M4" s="7">
        <v>0</v>
      </c>
      <c r="N4" s="10">
        <v>0</v>
      </c>
      <c r="O4" s="11" t="s">
        <v>33</v>
      </c>
    </row>
    <row r="5" spans="1:25" ht="15.75" customHeight="1">
      <c r="A5" s="7" t="s">
        <v>15</v>
      </c>
      <c r="B5" s="7" t="s">
        <v>16</v>
      </c>
      <c r="C5" s="7" t="s">
        <v>34</v>
      </c>
      <c r="D5" s="8" t="s">
        <v>35</v>
      </c>
      <c r="E5" s="7" t="s">
        <v>36</v>
      </c>
      <c r="F5" s="7" t="s">
        <v>37</v>
      </c>
      <c r="G5" s="8" t="s">
        <v>21</v>
      </c>
      <c r="H5" s="24">
        <v>4099</v>
      </c>
      <c r="I5" s="8" t="s">
        <v>21</v>
      </c>
      <c r="K5" s="7">
        <v>6</v>
      </c>
      <c r="L5" s="8" t="s">
        <v>22</v>
      </c>
      <c r="M5" s="7">
        <v>0</v>
      </c>
      <c r="N5" s="10">
        <v>0</v>
      </c>
      <c r="O5" s="11" t="s">
        <v>38</v>
      </c>
    </row>
    <row r="6" spans="1:25" ht="15.75" customHeight="1">
      <c r="A6" s="7" t="s">
        <v>15</v>
      </c>
      <c r="B6" s="7" t="s">
        <v>16</v>
      </c>
      <c r="C6" s="7" t="s">
        <v>39</v>
      </c>
      <c r="D6" s="8" t="s">
        <v>40</v>
      </c>
      <c r="E6" s="7" t="s">
        <v>41</v>
      </c>
      <c r="F6" s="7" t="s">
        <v>42</v>
      </c>
      <c r="G6" s="8" t="s">
        <v>21</v>
      </c>
      <c r="H6" s="24">
        <v>810</v>
      </c>
      <c r="I6" s="8" t="s">
        <v>21</v>
      </c>
      <c r="K6" s="7">
        <v>6</v>
      </c>
      <c r="L6" s="8" t="s">
        <v>22</v>
      </c>
      <c r="M6" s="7">
        <v>0</v>
      </c>
      <c r="N6" s="10">
        <v>0</v>
      </c>
      <c r="O6" s="11" t="s">
        <v>43</v>
      </c>
    </row>
    <row r="7" spans="1:25" ht="15.75" customHeight="1">
      <c r="A7" s="7" t="s">
        <v>15</v>
      </c>
      <c r="B7" s="7" t="s">
        <v>16</v>
      </c>
      <c r="C7" s="7" t="s">
        <v>44</v>
      </c>
      <c r="D7" s="8" t="s">
        <v>45</v>
      </c>
      <c r="E7" s="7" t="s">
        <v>46</v>
      </c>
      <c r="F7" s="7" t="s">
        <v>47</v>
      </c>
      <c r="G7" s="8" t="s">
        <v>48</v>
      </c>
      <c r="H7" s="24">
        <v>317</v>
      </c>
      <c r="I7" s="8" t="s">
        <v>48</v>
      </c>
      <c r="K7" s="7">
        <v>1</v>
      </c>
      <c r="L7" s="8" t="s">
        <v>48</v>
      </c>
      <c r="M7" s="7">
        <v>0</v>
      </c>
      <c r="N7" s="10">
        <v>0</v>
      </c>
      <c r="O7" s="11" t="s">
        <v>49</v>
      </c>
    </row>
    <row r="8" spans="1:25" ht="15.75" customHeight="1">
      <c r="A8" s="7" t="s">
        <v>15</v>
      </c>
      <c r="B8" s="7" t="s">
        <v>16</v>
      </c>
      <c r="C8" s="7" t="s">
        <v>51</v>
      </c>
      <c r="D8" s="8" t="s">
        <v>52</v>
      </c>
      <c r="E8" s="7" t="s">
        <v>53</v>
      </c>
      <c r="F8" s="7" t="s">
        <v>54</v>
      </c>
      <c r="G8" s="8" t="s">
        <v>48</v>
      </c>
      <c r="H8" s="24">
        <v>102</v>
      </c>
      <c r="I8" s="8" t="s">
        <v>48</v>
      </c>
      <c r="K8" s="7">
        <v>1</v>
      </c>
      <c r="L8" s="8" t="s">
        <v>48</v>
      </c>
      <c r="M8" s="7">
        <v>0</v>
      </c>
      <c r="N8" s="10">
        <v>0</v>
      </c>
      <c r="O8" s="18" t="s">
        <v>55</v>
      </c>
    </row>
    <row r="9" spans="1:25" ht="15.75" customHeight="1">
      <c r="A9" s="7" t="s">
        <v>15</v>
      </c>
      <c r="B9" s="7" t="s">
        <v>16</v>
      </c>
      <c r="C9" s="7" t="s">
        <v>56</v>
      </c>
      <c r="D9" s="8" t="s">
        <v>57</v>
      </c>
      <c r="E9" s="7" t="s">
        <v>58</v>
      </c>
      <c r="F9" s="7" t="s">
        <v>59</v>
      </c>
      <c r="G9" s="8" t="s">
        <v>48</v>
      </c>
      <c r="H9" s="24">
        <v>1503</v>
      </c>
      <c r="I9" s="8" t="s">
        <v>48</v>
      </c>
      <c r="K9" s="7">
        <v>1</v>
      </c>
      <c r="L9" s="8" t="s">
        <v>48</v>
      </c>
      <c r="M9" s="7">
        <v>0</v>
      </c>
      <c r="N9" s="10">
        <v>0</v>
      </c>
      <c r="O9" s="11" t="s">
        <v>60</v>
      </c>
    </row>
    <row r="10" spans="1:25" ht="15.75" customHeight="1">
      <c r="A10" s="7" t="s">
        <v>15</v>
      </c>
      <c r="B10" s="7" t="s">
        <v>16</v>
      </c>
      <c r="C10" s="7" t="s">
        <v>61</v>
      </c>
      <c r="D10" s="11" t="s">
        <v>62</v>
      </c>
      <c r="E10" s="7" t="s">
        <v>63</v>
      </c>
      <c r="F10" s="7" t="s">
        <v>64</v>
      </c>
      <c r="G10" s="8" t="s">
        <v>48</v>
      </c>
      <c r="H10" s="24">
        <v>959</v>
      </c>
      <c r="I10" s="8" t="s">
        <v>48</v>
      </c>
      <c r="K10" s="7">
        <v>1</v>
      </c>
      <c r="L10" s="8" t="s">
        <v>48</v>
      </c>
      <c r="M10" s="7">
        <v>0</v>
      </c>
      <c r="N10" s="10">
        <v>0</v>
      </c>
      <c r="O10" s="17" t="s">
        <v>65</v>
      </c>
    </row>
    <row r="11" spans="1:25" ht="15.75" customHeight="1">
      <c r="A11" s="7" t="s">
        <v>15</v>
      </c>
      <c r="B11" s="7" t="s">
        <v>16</v>
      </c>
      <c r="C11" s="7" t="s">
        <v>66</v>
      </c>
      <c r="D11" s="11" t="s">
        <v>62</v>
      </c>
      <c r="E11" s="7" t="s">
        <v>67</v>
      </c>
      <c r="F11" s="7" t="s">
        <v>68</v>
      </c>
      <c r="G11" s="8" t="s">
        <v>48</v>
      </c>
      <c r="H11" s="24">
        <v>865</v>
      </c>
      <c r="I11" s="8" t="s">
        <v>48</v>
      </c>
      <c r="K11" s="7">
        <v>1</v>
      </c>
      <c r="L11" s="8" t="s">
        <v>48</v>
      </c>
      <c r="M11" s="7">
        <v>0</v>
      </c>
      <c r="N11" s="10">
        <v>0</v>
      </c>
      <c r="O11" s="17" t="s">
        <v>69</v>
      </c>
    </row>
    <row r="12" spans="1:25" ht="15.75" customHeight="1">
      <c r="A12" s="7" t="s">
        <v>15</v>
      </c>
      <c r="B12" s="7" t="s">
        <v>16</v>
      </c>
      <c r="C12" s="7" t="s">
        <v>70</v>
      </c>
      <c r="D12" s="8" t="s">
        <v>71</v>
      </c>
      <c r="E12" s="7" t="s">
        <v>72</v>
      </c>
      <c r="F12" s="7" t="s">
        <v>73</v>
      </c>
      <c r="G12" s="8" t="s">
        <v>48</v>
      </c>
      <c r="H12" s="24">
        <v>635</v>
      </c>
      <c r="I12" s="8" t="s">
        <v>48</v>
      </c>
      <c r="K12" s="7">
        <v>1</v>
      </c>
      <c r="L12" s="8" t="s">
        <v>48</v>
      </c>
      <c r="M12" s="7">
        <v>0</v>
      </c>
      <c r="N12" s="10">
        <v>0</v>
      </c>
      <c r="O12" s="11" t="s">
        <v>49</v>
      </c>
    </row>
    <row r="13" spans="1:25" ht="15.75" customHeight="1">
      <c r="A13" s="7" t="s">
        <v>15</v>
      </c>
      <c r="B13" s="7" t="s">
        <v>16</v>
      </c>
      <c r="C13" s="7" t="s">
        <v>74</v>
      </c>
      <c r="D13" s="8" t="s">
        <v>75</v>
      </c>
      <c r="E13" s="7" t="s">
        <v>76</v>
      </c>
      <c r="F13" s="7" t="s">
        <v>77</v>
      </c>
      <c r="G13" s="8" t="s">
        <v>48</v>
      </c>
      <c r="H13" s="24">
        <v>4114</v>
      </c>
      <c r="I13" s="8" t="s">
        <v>48</v>
      </c>
      <c r="K13" s="7">
        <v>1</v>
      </c>
      <c r="L13" s="8" t="s">
        <v>48</v>
      </c>
      <c r="M13" s="7">
        <v>0</v>
      </c>
      <c r="N13" s="10">
        <v>0</v>
      </c>
      <c r="O13" s="11" t="s">
        <v>49</v>
      </c>
    </row>
    <row r="14" spans="1:25" ht="15.75" customHeight="1">
      <c r="A14" s="7" t="s">
        <v>15</v>
      </c>
      <c r="B14" s="7" t="s">
        <v>16</v>
      </c>
      <c r="C14" s="7" t="s">
        <v>78</v>
      </c>
      <c r="D14" s="8" t="s">
        <v>79</v>
      </c>
      <c r="E14" s="7" t="s">
        <v>80</v>
      </c>
      <c r="F14" s="7" t="s">
        <v>81</v>
      </c>
      <c r="G14" s="8" t="s">
        <v>48</v>
      </c>
      <c r="H14" s="24">
        <v>184</v>
      </c>
      <c r="I14" s="8" t="s">
        <v>48</v>
      </c>
      <c r="K14" s="7">
        <v>1</v>
      </c>
      <c r="L14" s="8" t="s">
        <v>48</v>
      </c>
      <c r="M14" s="7">
        <v>0</v>
      </c>
      <c r="N14" s="10">
        <v>0</v>
      </c>
      <c r="O14" s="11" t="s">
        <v>82</v>
      </c>
    </row>
    <row r="15" spans="1:25" ht="15.75" customHeight="1">
      <c r="A15" s="7" t="s">
        <v>15</v>
      </c>
      <c r="B15" s="7" t="s">
        <v>16</v>
      </c>
      <c r="C15" s="7" t="s">
        <v>83</v>
      </c>
      <c r="D15" s="8" t="s">
        <v>84</v>
      </c>
      <c r="E15" s="7" t="s">
        <v>85</v>
      </c>
      <c r="F15" s="7" t="s">
        <v>86</v>
      </c>
      <c r="G15" s="8" t="s">
        <v>21</v>
      </c>
      <c r="H15" s="24">
        <v>200</v>
      </c>
      <c r="I15" s="8" t="s">
        <v>21</v>
      </c>
      <c r="K15" s="7">
        <v>25</v>
      </c>
      <c r="L15" s="8" t="s">
        <v>87</v>
      </c>
      <c r="M15" s="7">
        <v>0</v>
      </c>
      <c r="N15" s="10">
        <v>0</v>
      </c>
      <c r="O15" s="11" t="s">
        <v>38</v>
      </c>
    </row>
    <row r="16" spans="1:25" ht="15.75" customHeight="1">
      <c r="A16" s="7" t="s">
        <v>15</v>
      </c>
      <c r="B16" s="7" t="s">
        <v>16</v>
      </c>
      <c r="C16" s="7" t="s">
        <v>88</v>
      </c>
      <c r="D16" s="8" t="s">
        <v>89</v>
      </c>
      <c r="E16" s="7" t="s">
        <v>90</v>
      </c>
      <c r="F16" s="7" t="s">
        <v>91</v>
      </c>
      <c r="G16" s="8" t="s">
        <v>21</v>
      </c>
      <c r="H16" s="24">
        <v>150</v>
      </c>
      <c r="I16" s="8" t="s">
        <v>21</v>
      </c>
      <c r="K16" s="7">
        <v>30</v>
      </c>
      <c r="L16" s="8" t="s">
        <v>87</v>
      </c>
      <c r="M16" s="7">
        <v>0</v>
      </c>
      <c r="N16" s="10">
        <v>0</v>
      </c>
      <c r="O16" s="11" t="s">
        <v>28</v>
      </c>
    </row>
    <row r="17" spans="1:20" ht="15.75" customHeight="1">
      <c r="A17" s="7" t="s">
        <v>15</v>
      </c>
      <c r="B17" s="7" t="s">
        <v>16</v>
      </c>
      <c r="C17" s="7" t="s">
        <v>92</v>
      </c>
      <c r="D17" s="8" t="s">
        <v>93</v>
      </c>
      <c r="E17" s="7" t="s">
        <v>94</v>
      </c>
      <c r="F17" s="7" t="s">
        <v>95</v>
      </c>
      <c r="G17" s="8" t="s">
        <v>21</v>
      </c>
      <c r="H17" s="24">
        <v>184</v>
      </c>
      <c r="I17" s="8" t="s">
        <v>21</v>
      </c>
      <c r="K17" s="7">
        <v>28</v>
      </c>
      <c r="L17" s="8" t="s">
        <v>87</v>
      </c>
      <c r="M17" s="7">
        <v>0</v>
      </c>
      <c r="N17" s="10">
        <v>0</v>
      </c>
      <c r="O17" s="11" t="s">
        <v>43</v>
      </c>
    </row>
    <row r="18" spans="1:20" ht="15.75" customHeight="1">
      <c r="A18" s="7" t="s">
        <v>15</v>
      </c>
      <c r="B18" s="7" t="s">
        <v>16</v>
      </c>
      <c r="C18" s="7" t="s">
        <v>96</v>
      </c>
      <c r="D18" s="8" t="s">
        <v>97</v>
      </c>
      <c r="E18" s="7" t="s">
        <v>98</v>
      </c>
      <c r="F18" s="7" t="s">
        <v>99</v>
      </c>
      <c r="G18" s="8" t="s">
        <v>21</v>
      </c>
      <c r="H18" s="24">
        <v>184</v>
      </c>
      <c r="I18" s="8" t="s">
        <v>21</v>
      </c>
      <c r="K18" s="7">
        <v>25</v>
      </c>
      <c r="L18" s="8" t="s">
        <v>87</v>
      </c>
      <c r="M18" s="7">
        <v>0</v>
      </c>
      <c r="N18" s="10">
        <v>0</v>
      </c>
      <c r="O18" s="11" t="s">
        <v>43</v>
      </c>
    </row>
    <row r="19" spans="1:20" ht="15.75" customHeight="1">
      <c r="A19" s="7" t="s">
        <v>100</v>
      </c>
      <c r="B19" s="7" t="s">
        <v>101</v>
      </c>
      <c r="C19" s="7" t="s">
        <v>102</v>
      </c>
      <c r="D19" s="8" t="s">
        <v>84</v>
      </c>
      <c r="E19" s="7" t="s">
        <v>103</v>
      </c>
      <c r="F19" s="7" t="s">
        <v>104</v>
      </c>
      <c r="G19" s="8" t="s">
        <v>21</v>
      </c>
      <c r="H19" s="24">
        <v>150</v>
      </c>
      <c r="I19" s="8" t="s">
        <v>21</v>
      </c>
      <c r="K19" s="7">
        <v>27</v>
      </c>
      <c r="L19" s="8" t="s">
        <v>87</v>
      </c>
      <c r="M19" s="7">
        <v>0</v>
      </c>
      <c r="N19" s="10">
        <v>0</v>
      </c>
      <c r="O19" s="11" t="s">
        <v>38</v>
      </c>
      <c r="P19" s="11"/>
    </row>
    <row r="20" spans="1:20" ht="15.75" customHeight="1">
      <c r="A20" s="7" t="s">
        <v>100</v>
      </c>
      <c r="B20" s="7" t="s">
        <v>101</v>
      </c>
      <c r="C20" s="7" t="s">
        <v>105</v>
      </c>
      <c r="D20" s="8" t="s">
        <v>106</v>
      </c>
      <c r="E20" s="7" t="s">
        <v>107</v>
      </c>
      <c r="F20" s="7" t="s">
        <v>108</v>
      </c>
      <c r="G20" s="8" t="s">
        <v>48</v>
      </c>
      <c r="H20" s="24">
        <v>2505</v>
      </c>
      <c r="I20" s="8" t="s">
        <v>48</v>
      </c>
      <c r="K20" s="7">
        <v>1</v>
      </c>
      <c r="L20" s="8" t="s">
        <v>48</v>
      </c>
      <c r="M20" s="7">
        <v>0</v>
      </c>
      <c r="N20" s="10">
        <v>0</v>
      </c>
      <c r="O20" s="11" t="s">
        <v>49</v>
      </c>
      <c r="P20" s="11"/>
    </row>
    <row r="21" spans="1:20" ht="15.75" customHeight="1">
      <c r="A21" s="7" t="s">
        <v>100</v>
      </c>
      <c r="B21" s="7" t="s">
        <v>101</v>
      </c>
      <c r="C21" s="7" t="s">
        <v>109</v>
      </c>
      <c r="D21" s="8" t="s">
        <v>110</v>
      </c>
      <c r="E21" s="7" t="s">
        <v>111</v>
      </c>
      <c r="F21" s="7" t="s">
        <v>112</v>
      </c>
      <c r="G21" s="8" t="s">
        <v>48</v>
      </c>
      <c r="H21" s="24">
        <v>3429</v>
      </c>
      <c r="I21" s="8" t="s">
        <v>48</v>
      </c>
      <c r="K21" s="7">
        <v>1</v>
      </c>
      <c r="L21" s="8" t="s">
        <v>48</v>
      </c>
      <c r="M21" s="7">
        <v>0</v>
      </c>
      <c r="N21" s="10">
        <v>0</v>
      </c>
      <c r="O21" s="11" t="s">
        <v>49</v>
      </c>
      <c r="P21" s="11"/>
    </row>
    <row r="22" spans="1:20" ht="15.75" customHeight="1">
      <c r="A22" s="7" t="s">
        <v>100</v>
      </c>
      <c r="B22" s="7" t="s">
        <v>101</v>
      </c>
      <c r="C22" s="7" t="s">
        <v>113</v>
      </c>
      <c r="D22" s="8" t="s">
        <v>114</v>
      </c>
      <c r="E22" s="7" t="s">
        <v>115</v>
      </c>
      <c r="F22" s="7" t="s">
        <v>112</v>
      </c>
      <c r="G22" s="8" t="s">
        <v>48</v>
      </c>
      <c r="H22" s="24">
        <v>3670</v>
      </c>
      <c r="I22" s="8" t="s">
        <v>48</v>
      </c>
      <c r="K22" s="7">
        <v>1</v>
      </c>
      <c r="L22" s="8" t="s">
        <v>48</v>
      </c>
      <c r="M22" s="7">
        <v>0</v>
      </c>
      <c r="N22" s="10">
        <v>0</v>
      </c>
      <c r="O22" s="11" t="s">
        <v>49</v>
      </c>
      <c r="P22" s="11"/>
    </row>
    <row r="23" spans="1:20" ht="15.75" customHeight="1">
      <c r="A23" s="7" t="s">
        <v>100</v>
      </c>
      <c r="B23" s="7" t="s">
        <v>101</v>
      </c>
      <c r="C23" s="7" t="s">
        <v>116</v>
      </c>
      <c r="D23" s="8" t="s">
        <v>117</v>
      </c>
      <c r="E23" s="7" t="s">
        <v>118</v>
      </c>
      <c r="F23" s="7" t="s">
        <v>112</v>
      </c>
      <c r="G23" s="8" t="s">
        <v>119</v>
      </c>
      <c r="H23" s="24">
        <v>3120</v>
      </c>
      <c r="I23" s="8" t="s">
        <v>119</v>
      </c>
      <c r="K23" s="7">
        <v>1</v>
      </c>
      <c r="L23" s="8" t="s">
        <v>119</v>
      </c>
      <c r="M23" s="7">
        <v>0</v>
      </c>
      <c r="N23" s="10">
        <v>0</v>
      </c>
      <c r="O23" s="11" t="s">
        <v>49</v>
      </c>
      <c r="P23" s="11"/>
    </row>
    <row r="24" spans="1:20" ht="15.75" customHeight="1">
      <c r="A24" s="7" t="s">
        <v>15</v>
      </c>
      <c r="B24" s="7" t="s">
        <v>120</v>
      </c>
      <c r="C24" s="7" t="s">
        <v>121</v>
      </c>
      <c r="D24" s="8" t="s">
        <v>25</v>
      </c>
      <c r="E24" s="7" t="s">
        <v>122</v>
      </c>
      <c r="F24" s="7" t="s">
        <v>123</v>
      </c>
      <c r="G24" s="8" t="s">
        <v>21</v>
      </c>
      <c r="H24" s="24">
        <v>8330</v>
      </c>
      <c r="I24" s="8" t="s">
        <v>21</v>
      </c>
      <c r="K24" s="7">
        <v>6</v>
      </c>
      <c r="L24" s="8" t="s">
        <v>22</v>
      </c>
      <c r="M24" s="7">
        <v>0</v>
      </c>
      <c r="N24" s="10">
        <v>0</v>
      </c>
      <c r="O24" s="11" t="s">
        <v>28</v>
      </c>
      <c r="P24" s="6"/>
      <c r="Q24" s="6"/>
      <c r="R24" s="6"/>
      <c r="S24" s="6"/>
      <c r="T24" s="6"/>
    </row>
    <row r="25" spans="1:20" ht="15.75" customHeight="1">
      <c r="A25" s="7" t="s">
        <v>15</v>
      </c>
      <c r="B25" s="7" t="s">
        <v>120</v>
      </c>
      <c r="C25" s="7" t="s">
        <v>124</v>
      </c>
      <c r="D25" s="11" t="s">
        <v>30</v>
      </c>
      <c r="E25" s="7" t="s">
        <v>125</v>
      </c>
      <c r="F25" s="7" t="s">
        <v>126</v>
      </c>
      <c r="G25" s="8" t="s">
        <v>21</v>
      </c>
      <c r="H25" s="24">
        <v>6962</v>
      </c>
      <c r="I25" s="8" t="s">
        <v>21</v>
      </c>
      <c r="K25" s="7">
        <v>6</v>
      </c>
      <c r="L25" s="8" t="s">
        <v>22</v>
      </c>
      <c r="M25" s="7">
        <v>0</v>
      </c>
      <c r="N25" s="10">
        <v>0</v>
      </c>
      <c r="O25" s="11" t="s">
        <v>127</v>
      </c>
      <c r="P25" s="11"/>
      <c r="Q25" s="11"/>
      <c r="R25" s="11"/>
      <c r="S25" s="11"/>
      <c r="T25" s="11"/>
    </row>
    <row r="26" spans="1:20" ht="15.75" customHeight="1">
      <c r="A26" s="7" t="s">
        <v>15</v>
      </c>
      <c r="B26" s="7" t="s">
        <v>120</v>
      </c>
      <c r="C26" s="7" t="s">
        <v>128</v>
      </c>
      <c r="D26" s="11" t="s">
        <v>35</v>
      </c>
      <c r="E26" s="7" t="s">
        <v>129</v>
      </c>
      <c r="F26" s="7" t="s">
        <v>130</v>
      </c>
      <c r="G26" s="8" t="s">
        <v>21</v>
      </c>
      <c r="H26" s="24">
        <v>8728</v>
      </c>
      <c r="I26" s="8" t="s">
        <v>21</v>
      </c>
      <c r="K26" s="7">
        <v>6</v>
      </c>
      <c r="L26" s="8" t="s">
        <v>22</v>
      </c>
      <c r="M26" s="7">
        <v>0</v>
      </c>
      <c r="N26" s="10">
        <v>0</v>
      </c>
      <c r="O26" s="11" t="s">
        <v>38</v>
      </c>
      <c r="P26" s="11"/>
      <c r="Q26" s="11"/>
      <c r="R26" s="11"/>
      <c r="S26" s="11"/>
      <c r="T26" s="11"/>
    </row>
    <row r="27" spans="1:20" ht="15.75" customHeight="1">
      <c r="A27" s="7" t="s">
        <v>15</v>
      </c>
      <c r="B27" s="7" t="s">
        <v>120</v>
      </c>
      <c r="C27" s="7" t="s">
        <v>133</v>
      </c>
      <c r="D27" s="11" t="s">
        <v>57</v>
      </c>
      <c r="E27" s="7" t="s">
        <v>58</v>
      </c>
      <c r="F27" s="7" t="s">
        <v>134</v>
      </c>
      <c r="G27" s="8" t="s">
        <v>48</v>
      </c>
      <c r="H27" s="24">
        <v>1503</v>
      </c>
      <c r="I27" s="8" t="s">
        <v>48</v>
      </c>
      <c r="K27" s="7">
        <v>1</v>
      </c>
      <c r="L27" s="8" t="s">
        <v>48</v>
      </c>
      <c r="M27" s="7">
        <v>0</v>
      </c>
      <c r="N27" s="10">
        <v>0</v>
      </c>
      <c r="O27" s="11" t="s">
        <v>60</v>
      </c>
      <c r="P27" s="11"/>
      <c r="Q27" s="11"/>
      <c r="R27" s="11"/>
      <c r="S27" s="11"/>
      <c r="T27" s="11"/>
    </row>
    <row r="28" spans="1:20" ht="15.75" customHeight="1">
      <c r="A28" s="7" t="s">
        <v>15</v>
      </c>
      <c r="B28" s="7" t="s">
        <v>120</v>
      </c>
      <c r="C28" s="7" t="s">
        <v>135</v>
      </c>
      <c r="D28" s="11" t="s">
        <v>62</v>
      </c>
      <c r="E28" s="7" t="s">
        <v>136</v>
      </c>
      <c r="F28" s="7" t="s">
        <v>68</v>
      </c>
      <c r="G28" s="8" t="s">
        <v>48</v>
      </c>
      <c r="H28" s="24">
        <v>458</v>
      </c>
      <c r="I28" s="8" t="s">
        <v>48</v>
      </c>
      <c r="K28" s="7">
        <v>1</v>
      </c>
      <c r="L28" s="8" t="s">
        <v>48</v>
      </c>
      <c r="M28" s="7">
        <v>0</v>
      </c>
      <c r="N28" s="10">
        <v>0</v>
      </c>
      <c r="O28" s="17" t="s">
        <v>69</v>
      </c>
      <c r="P28" s="11"/>
      <c r="Q28" s="11"/>
      <c r="R28" s="11"/>
      <c r="S28" s="11"/>
      <c r="T28" s="11"/>
    </row>
    <row r="29" spans="1:20" ht="15.75" customHeight="1">
      <c r="A29" s="7" t="s">
        <v>15</v>
      </c>
      <c r="B29" s="7" t="s">
        <v>120</v>
      </c>
      <c r="C29" s="7" t="s">
        <v>137</v>
      </c>
      <c r="D29" s="11" t="s">
        <v>62</v>
      </c>
      <c r="E29" s="7" t="s">
        <v>138</v>
      </c>
      <c r="F29" s="7" t="s">
        <v>139</v>
      </c>
      <c r="G29" s="8" t="s">
        <v>48</v>
      </c>
      <c r="H29" s="24">
        <v>151</v>
      </c>
      <c r="I29" s="8" t="s">
        <v>48</v>
      </c>
      <c r="K29" s="7">
        <v>1</v>
      </c>
      <c r="L29" s="8" t="s">
        <v>48</v>
      </c>
      <c r="M29" s="7">
        <v>0</v>
      </c>
      <c r="N29" s="10">
        <v>0</v>
      </c>
      <c r="O29" s="17" t="s">
        <v>69</v>
      </c>
      <c r="P29" s="11"/>
      <c r="Q29" s="11"/>
      <c r="R29" s="11"/>
      <c r="S29" s="11"/>
      <c r="T29" s="11"/>
    </row>
    <row r="30" spans="1:20" ht="15.75" customHeight="1">
      <c r="A30" s="7" t="s">
        <v>15</v>
      </c>
      <c r="B30" s="7" t="s">
        <v>120</v>
      </c>
      <c r="C30" s="7" t="s">
        <v>70</v>
      </c>
      <c r="D30" s="11" t="s">
        <v>71</v>
      </c>
      <c r="E30" s="7" t="s">
        <v>72</v>
      </c>
      <c r="F30" s="7" t="s">
        <v>132</v>
      </c>
      <c r="G30" s="8" t="s">
        <v>48</v>
      </c>
      <c r="H30" s="24">
        <v>635</v>
      </c>
      <c r="I30" s="8" t="s">
        <v>48</v>
      </c>
      <c r="K30" s="7">
        <v>1</v>
      </c>
      <c r="L30" s="8" t="s">
        <v>48</v>
      </c>
      <c r="M30" s="7">
        <v>0</v>
      </c>
      <c r="N30" s="10">
        <v>0</v>
      </c>
      <c r="O30" s="11" t="s">
        <v>49</v>
      </c>
      <c r="P30" s="11"/>
      <c r="Q30" s="11"/>
      <c r="R30" s="11"/>
      <c r="S30" s="11"/>
      <c r="T30" s="11"/>
    </row>
    <row r="31" spans="1:20" ht="15.75" customHeight="1">
      <c r="A31" s="7" t="s">
        <v>15</v>
      </c>
      <c r="B31" s="7" t="s">
        <v>120</v>
      </c>
      <c r="C31" s="7" t="s">
        <v>74</v>
      </c>
      <c r="D31" s="11" t="s">
        <v>75</v>
      </c>
      <c r="E31" s="7" t="s">
        <v>76</v>
      </c>
      <c r="F31" s="7" t="s">
        <v>140</v>
      </c>
      <c r="G31" s="8" t="s">
        <v>48</v>
      </c>
      <c r="H31" s="24">
        <v>4114</v>
      </c>
      <c r="I31" s="8" t="s">
        <v>48</v>
      </c>
      <c r="K31" s="7">
        <v>1</v>
      </c>
      <c r="L31" s="8" t="s">
        <v>48</v>
      </c>
      <c r="M31" s="7">
        <v>0</v>
      </c>
      <c r="N31" s="10">
        <v>0</v>
      </c>
      <c r="O31" s="11" t="s">
        <v>49</v>
      </c>
      <c r="P31" s="11"/>
      <c r="Q31" s="11"/>
      <c r="R31" s="11"/>
      <c r="S31" s="11"/>
      <c r="T31" s="11"/>
    </row>
    <row r="32" spans="1:20" ht="15.75" customHeight="1">
      <c r="A32" s="7" t="s">
        <v>15</v>
      </c>
      <c r="B32" s="7" t="s">
        <v>120</v>
      </c>
      <c r="C32" s="7" t="s">
        <v>141</v>
      </c>
      <c r="D32" s="11" t="s">
        <v>142</v>
      </c>
      <c r="E32" s="7" t="s">
        <v>143</v>
      </c>
      <c r="F32" s="7" t="s">
        <v>144</v>
      </c>
      <c r="G32" s="8" t="s">
        <v>48</v>
      </c>
      <c r="H32" s="24">
        <v>765</v>
      </c>
      <c r="I32" s="8" t="s">
        <v>48</v>
      </c>
      <c r="K32" s="7">
        <v>1</v>
      </c>
      <c r="L32" s="8" t="s">
        <v>48</v>
      </c>
      <c r="M32" s="7">
        <v>0</v>
      </c>
      <c r="N32" s="10">
        <v>0</v>
      </c>
      <c r="O32" s="18" t="s">
        <v>145</v>
      </c>
      <c r="P32" s="11"/>
      <c r="Q32" s="11"/>
      <c r="R32" s="11"/>
      <c r="S32" s="11"/>
      <c r="T32" s="11"/>
    </row>
    <row r="33" spans="1:20" ht="15.75" customHeight="1">
      <c r="A33" s="7" t="s">
        <v>15</v>
      </c>
      <c r="B33" s="7" t="s">
        <v>120</v>
      </c>
      <c r="C33" s="7" t="s">
        <v>83</v>
      </c>
      <c r="D33" s="11" t="s">
        <v>84</v>
      </c>
      <c r="E33" s="7" t="s">
        <v>85</v>
      </c>
      <c r="F33" s="7" t="s">
        <v>146</v>
      </c>
      <c r="G33" s="8" t="s">
        <v>21</v>
      </c>
      <c r="H33" s="24">
        <v>130</v>
      </c>
      <c r="I33" s="8" t="s">
        <v>21</v>
      </c>
      <c r="K33" s="7">
        <v>25</v>
      </c>
      <c r="L33" s="8" t="s">
        <v>87</v>
      </c>
      <c r="M33" s="7">
        <v>0</v>
      </c>
      <c r="N33" s="10">
        <v>0</v>
      </c>
      <c r="O33" s="11" t="s">
        <v>38</v>
      </c>
      <c r="P33" s="11"/>
      <c r="Q33" s="11"/>
      <c r="R33" s="11"/>
      <c r="S33" s="11"/>
      <c r="T33" s="11"/>
    </row>
    <row r="34" spans="1:20" ht="15.75" customHeight="1">
      <c r="A34" s="7" t="s">
        <v>15</v>
      </c>
      <c r="B34" s="7" t="s">
        <v>120</v>
      </c>
      <c r="C34" s="7" t="s">
        <v>147</v>
      </c>
      <c r="D34" s="11" t="s">
        <v>148</v>
      </c>
      <c r="E34" s="7" t="s">
        <v>149</v>
      </c>
      <c r="F34" s="7" t="s">
        <v>150</v>
      </c>
      <c r="G34" s="8" t="s">
        <v>21</v>
      </c>
      <c r="H34" s="24">
        <v>919</v>
      </c>
      <c r="I34" s="8" t="s">
        <v>21</v>
      </c>
      <c r="K34" s="7">
        <v>20</v>
      </c>
      <c r="L34" s="8" t="s">
        <v>87</v>
      </c>
      <c r="M34" s="7">
        <v>0</v>
      </c>
      <c r="N34" s="10">
        <v>0</v>
      </c>
      <c r="O34" s="11" t="s">
        <v>28</v>
      </c>
      <c r="P34" s="11"/>
      <c r="Q34" s="11"/>
      <c r="R34" s="11"/>
      <c r="S34" s="11"/>
      <c r="T34" s="11"/>
    </row>
    <row r="35" spans="1:20" ht="15.75" customHeight="1">
      <c r="A35" s="7" t="s">
        <v>15</v>
      </c>
      <c r="B35" s="7" t="s">
        <v>120</v>
      </c>
      <c r="C35" s="7" t="s">
        <v>88</v>
      </c>
      <c r="D35" s="11" t="s">
        <v>89</v>
      </c>
      <c r="E35" s="7" t="s">
        <v>90</v>
      </c>
      <c r="F35" s="7" t="s">
        <v>150</v>
      </c>
      <c r="G35" s="8" t="s">
        <v>21</v>
      </c>
      <c r="H35" s="24">
        <v>152</v>
      </c>
      <c r="I35" s="8" t="s">
        <v>21</v>
      </c>
      <c r="K35" s="7">
        <v>30</v>
      </c>
      <c r="L35" s="8" t="s">
        <v>87</v>
      </c>
      <c r="M35" s="7">
        <v>0</v>
      </c>
      <c r="N35" s="10">
        <v>0</v>
      </c>
      <c r="O35" s="11" t="s">
        <v>28</v>
      </c>
      <c r="P35" s="11"/>
      <c r="Q35" s="11"/>
      <c r="R35" s="11"/>
      <c r="S35" s="11"/>
      <c r="T35" s="11"/>
    </row>
    <row r="36" spans="1:20" ht="15.75" customHeight="1">
      <c r="A36" s="7" t="s">
        <v>100</v>
      </c>
      <c r="B36" s="7" t="s">
        <v>16</v>
      </c>
      <c r="C36" s="7" t="s">
        <v>151</v>
      </c>
      <c r="D36" s="11" t="s">
        <v>152</v>
      </c>
      <c r="E36" s="7" t="s">
        <v>153</v>
      </c>
      <c r="F36" s="7" t="s">
        <v>154</v>
      </c>
      <c r="G36" s="8" t="s">
        <v>21</v>
      </c>
      <c r="H36" s="24">
        <v>2335</v>
      </c>
      <c r="I36" s="8" t="s">
        <v>21</v>
      </c>
      <c r="K36" s="7">
        <v>1</v>
      </c>
      <c r="L36" s="8" t="s">
        <v>22</v>
      </c>
      <c r="M36" s="7">
        <v>0</v>
      </c>
      <c r="N36" s="12">
        <v>0</v>
      </c>
      <c r="O36" s="11" t="s">
        <v>23</v>
      </c>
      <c r="P36" s="11"/>
      <c r="Q36" s="11"/>
      <c r="R36" s="11"/>
      <c r="S36" s="11"/>
      <c r="T36" s="11"/>
    </row>
    <row r="37" spans="1:20" ht="15.75" customHeight="1">
      <c r="A37" s="7" t="s">
        <v>100</v>
      </c>
      <c r="B37" s="7" t="s">
        <v>16</v>
      </c>
      <c r="C37" s="7" t="s">
        <v>155</v>
      </c>
      <c r="D37" s="11" t="s">
        <v>156</v>
      </c>
      <c r="E37" s="7" t="s">
        <v>157</v>
      </c>
      <c r="F37" s="7" t="s">
        <v>146</v>
      </c>
      <c r="G37" s="8" t="s">
        <v>21</v>
      </c>
      <c r="H37" s="24">
        <v>3086</v>
      </c>
      <c r="I37" s="8" t="s">
        <v>21</v>
      </c>
      <c r="K37" s="7">
        <v>6</v>
      </c>
      <c r="L37" s="8" t="s">
        <v>22</v>
      </c>
      <c r="M37" s="7">
        <v>0</v>
      </c>
      <c r="N37" s="12">
        <v>0</v>
      </c>
      <c r="O37" s="11" t="s">
        <v>28</v>
      </c>
      <c r="P37" s="11"/>
      <c r="Q37" s="11"/>
      <c r="R37" s="11"/>
      <c r="S37" s="11"/>
      <c r="T37" s="11"/>
    </row>
    <row r="38" spans="1:20" ht="15.75" customHeight="1">
      <c r="A38" s="7" t="s">
        <v>100</v>
      </c>
      <c r="B38" s="7" t="s">
        <v>16</v>
      </c>
      <c r="C38" s="7" t="s">
        <v>158</v>
      </c>
      <c r="D38" s="11" t="s">
        <v>159</v>
      </c>
      <c r="E38" s="7" t="s">
        <v>160</v>
      </c>
      <c r="F38" s="7" t="s">
        <v>161</v>
      </c>
      <c r="G38" s="8" t="s">
        <v>21</v>
      </c>
      <c r="H38" s="24">
        <v>4078</v>
      </c>
      <c r="I38" s="8" t="s">
        <v>21</v>
      </c>
      <c r="K38" s="7">
        <v>6</v>
      </c>
      <c r="L38" s="8" t="s">
        <v>22</v>
      </c>
      <c r="M38" s="7">
        <v>0</v>
      </c>
      <c r="N38" s="12">
        <v>0</v>
      </c>
      <c r="O38" s="11" t="s">
        <v>38</v>
      </c>
      <c r="P38" s="11"/>
      <c r="Q38" s="11"/>
      <c r="R38" s="11"/>
      <c r="S38" s="11"/>
      <c r="T38" s="11"/>
    </row>
    <row r="39" spans="1:20" ht="15.75" customHeight="1">
      <c r="A39" s="7" t="s">
        <v>100</v>
      </c>
      <c r="B39" s="7" t="s">
        <v>16</v>
      </c>
      <c r="C39" s="16" t="s">
        <v>162</v>
      </c>
      <c r="D39" s="11" t="s">
        <v>163</v>
      </c>
      <c r="E39" s="7" t="s">
        <v>164</v>
      </c>
      <c r="F39" s="7" t="s">
        <v>165</v>
      </c>
      <c r="G39" s="8" t="s">
        <v>21</v>
      </c>
      <c r="H39" s="24">
        <v>2448</v>
      </c>
      <c r="I39" s="8" t="s">
        <v>21</v>
      </c>
      <c r="K39" s="7">
        <v>6</v>
      </c>
      <c r="L39" s="8" t="s">
        <v>22</v>
      </c>
      <c r="M39" s="7">
        <v>0</v>
      </c>
      <c r="N39" s="12">
        <v>0</v>
      </c>
      <c r="O39" s="11" t="s">
        <v>166</v>
      </c>
      <c r="P39" s="11"/>
      <c r="Q39" s="11"/>
      <c r="R39" s="11"/>
      <c r="S39" s="11"/>
      <c r="T39" s="11"/>
    </row>
    <row r="40" spans="1:20" ht="15.75" customHeight="1">
      <c r="A40" s="7" t="s">
        <v>100</v>
      </c>
      <c r="B40" s="7" t="s">
        <v>16</v>
      </c>
      <c r="C40" s="16" t="s">
        <v>167</v>
      </c>
      <c r="D40" s="11" t="s">
        <v>168</v>
      </c>
      <c r="E40" s="7" t="s">
        <v>169</v>
      </c>
      <c r="F40" s="7" t="s">
        <v>170</v>
      </c>
      <c r="G40" s="8" t="s">
        <v>119</v>
      </c>
      <c r="H40" s="24">
        <v>2448</v>
      </c>
      <c r="I40" s="8" t="s">
        <v>119</v>
      </c>
      <c r="K40" s="7">
        <v>10</v>
      </c>
      <c r="L40" s="8" t="s">
        <v>119</v>
      </c>
      <c r="M40" s="7">
        <v>0</v>
      </c>
      <c r="N40" s="12">
        <v>0</v>
      </c>
      <c r="O40" s="11" t="s">
        <v>60</v>
      </c>
      <c r="P40" s="11"/>
      <c r="Q40" s="11"/>
      <c r="R40" s="11"/>
      <c r="S40" s="11"/>
      <c r="T40" s="11"/>
    </row>
    <row r="41" spans="1:20" ht="15.75" customHeight="1">
      <c r="A41" s="7" t="s">
        <v>100</v>
      </c>
      <c r="B41" s="7" t="s">
        <v>101</v>
      </c>
      <c r="C41" s="7" t="s">
        <v>171</v>
      </c>
      <c r="D41" s="11" t="s">
        <v>172</v>
      </c>
      <c r="E41" s="7" t="s">
        <v>173</v>
      </c>
      <c r="F41" s="7" t="s">
        <v>174</v>
      </c>
      <c r="G41" s="8" t="s">
        <v>21</v>
      </c>
      <c r="H41" s="24">
        <v>6962</v>
      </c>
      <c r="I41" s="8" t="s">
        <v>21</v>
      </c>
      <c r="K41" s="7">
        <v>2</v>
      </c>
      <c r="L41" s="8" t="s">
        <v>22</v>
      </c>
      <c r="M41" s="7">
        <v>0</v>
      </c>
      <c r="N41" s="10">
        <v>0</v>
      </c>
      <c r="O41" s="11" t="s">
        <v>175</v>
      </c>
      <c r="P41" s="11"/>
      <c r="Q41" s="11"/>
      <c r="R41" s="11"/>
      <c r="S41" s="11"/>
      <c r="T41" s="11"/>
    </row>
    <row r="42" spans="1:20" ht="15.75" customHeight="1">
      <c r="A42" s="7" t="s">
        <v>100</v>
      </c>
      <c r="B42" s="7" t="s">
        <v>101</v>
      </c>
      <c r="C42" s="7" t="s">
        <v>176</v>
      </c>
      <c r="D42" s="11" t="s">
        <v>156</v>
      </c>
      <c r="E42" s="7" t="s">
        <v>177</v>
      </c>
      <c r="F42" s="7" t="s">
        <v>123</v>
      </c>
      <c r="G42" s="8" t="s">
        <v>21</v>
      </c>
      <c r="H42" s="24">
        <v>6962</v>
      </c>
      <c r="I42" s="8" t="s">
        <v>21</v>
      </c>
      <c r="K42" s="7">
        <v>6</v>
      </c>
      <c r="L42" s="8" t="s">
        <v>22</v>
      </c>
      <c r="M42" s="7">
        <v>0</v>
      </c>
      <c r="N42" s="10">
        <v>0</v>
      </c>
      <c r="O42" s="11" t="s">
        <v>28</v>
      </c>
      <c r="P42" s="11"/>
      <c r="Q42" s="11"/>
      <c r="R42" s="11"/>
      <c r="S42" s="11"/>
      <c r="T42" s="11"/>
    </row>
    <row r="43" spans="1:20" ht="15.75" customHeight="1">
      <c r="A43" s="7" t="s">
        <v>100</v>
      </c>
      <c r="B43" s="7" t="s">
        <v>101</v>
      </c>
      <c r="C43" s="7" t="s">
        <v>178</v>
      </c>
      <c r="D43" s="11" t="s">
        <v>179</v>
      </c>
      <c r="E43" s="7" t="s">
        <v>180</v>
      </c>
      <c r="F43" s="7" t="s">
        <v>181</v>
      </c>
      <c r="G43" s="8" t="s">
        <v>21</v>
      </c>
      <c r="H43" s="24">
        <v>6962</v>
      </c>
      <c r="I43" s="8" t="s">
        <v>21</v>
      </c>
      <c r="K43" s="7">
        <v>6</v>
      </c>
      <c r="L43" s="8" t="s">
        <v>22</v>
      </c>
      <c r="M43" s="7">
        <v>0</v>
      </c>
      <c r="N43" s="10">
        <v>0</v>
      </c>
      <c r="O43" s="11" t="s">
        <v>28</v>
      </c>
      <c r="P43" s="11"/>
      <c r="Q43" s="11"/>
      <c r="R43" s="11"/>
      <c r="S43" s="11"/>
      <c r="T43" s="11"/>
    </row>
    <row r="44" spans="1:20" ht="15.75" customHeight="1">
      <c r="A44" s="7" t="s">
        <v>100</v>
      </c>
      <c r="B44" s="7" t="s">
        <v>101</v>
      </c>
      <c r="C44" s="7" t="s">
        <v>182</v>
      </c>
      <c r="D44" s="11" t="s">
        <v>183</v>
      </c>
      <c r="E44" s="7" t="s">
        <v>184</v>
      </c>
      <c r="F44" s="7" t="s">
        <v>130</v>
      </c>
      <c r="G44" s="8" t="s">
        <v>21</v>
      </c>
      <c r="H44" s="24">
        <v>6962</v>
      </c>
      <c r="I44" s="8" t="s">
        <v>21</v>
      </c>
      <c r="K44" s="7">
        <v>6</v>
      </c>
      <c r="L44" s="8" t="s">
        <v>22</v>
      </c>
      <c r="M44" s="7">
        <v>0</v>
      </c>
      <c r="N44" s="10">
        <v>0</v>
      </c>
      <c r="O44" s="11" t="s">
        <v>38</v>
      </c>
      <c r="P44" s="11"/>
      <c r="Q44" s="11"/>
      <c r="R44" s="11"/>
      <c r="S44" s="11"/>
      <c r="T44" s="11"/>
    </row>
    <row r="45" spans="1:20" ht="15.75" customHeight="1">
      <c r="A45" s="7" t="s">
        <v>100</v>
      </c>
      <c r="B45" s="7" t="s">
        <v>101</v>
      </c>
      <c r="C45" s="7" t="s">
        <v>185</v>
      </c>
      <c r="D45" s="11" t="s">
        <v>152</v>
      </c>
      <c r="E45" s="7" t="s">
        <v>186</v>
      </c>
      <c r="F45" s="7" t="s">
        <v>187</v>
      </c>
      <c r="G45" s="8" t="s">
        <v>21</v>
      </c>
      <c r="H45" s="24">
        <v>2335</v>
      </c>
      <c r="I45" s="8" t="s">
        <v>21</v>
      </c>
      <c r="K45" s="7">
        <v>2</v>
      </c>
      <c r="L45" s="8" t="s">
        <v>22</v>
      </c>
      <c r="M45" s="7">
        <v>0</v>
      </c>
      <c r="N45" s="10">
        <v>0</v>
      </c>
      <c r="O45" s="11" t="s">
        <v>23</v>
      </c>
      <c r="P45" s="11"/>
      <c r="Q45" s="11"/>
      <c r="R45" s="11"/>
      <c r="S45" s="11"/>
      <c r="T45" s="11"/>
    </row>
    <row r="46" spans="1:20" ht="15.75" customHeight="1">
      <c r="A46" s="7" t="s">
        <v>100</v>
      </c>
      <c r="B46" s="7" t="s">
        <v>101</v>
      </c>
      <c r="C46" s="7" t="s">
        <v>188</v>
      </c>
      <c r="D46" s="11" t="s">
        <v>62</v>
      </c>
      <c r="E46" s="7" t="s">
        <v>189</v>
      </c>
      <c r="F46" s="7" t="s">
        <v>190</v>
      </c>
      <c r="G46" s="8" t="s">
        <v>48</v>
      </c>
      <c r="H46" s="24">
        <v>196</v>
      </c>
      <c r="I46" s="8" t="s">
        <v>48</v>
      </c>
      <c r="K46" s="7">
        <v>1</v>
      </c>
      <c r="L46" s="8" t="s">
        <v>48</v>
      </c>
      <c r="M46" s="7">
        <v>0</v>
      </c>
      <c r="N46" s="10">
        <v>0</v>
      </c>
      <c r="O46" s="17" t="s">
        <v>191</v>
      </c>
      <c r="P46" s="11"/>
      <c r="Q46" s="11"/>
      <c r="R46" s="11"/>
      <c r="S46" s="11"/>
      <c r="T46" s="11"/>
    </row>
    <row r="47" spans="1:20" ht="15.75" customHeight="1">
      <c r="A47" s="7" t="s">
        <v>100</v>
      </c>
      <c r="B47" s="7" t="s">
        <v>101</v>
      </c>
      <c r="C47" s="7" t="s">
        <v>192</v>
      </c>
      <c r="D47" s="11" t="s">
        <v>62</v>
      </c>
      <c r="E47" s="7" t="s">
        <v>193</v>
      </c>
      <c r="F47" s="7" t="s">
        <v>194</v>
      </c>
      <c r="G47" s="8" t="s">
        <v>48</v>
      </c>
      <c r="H47" s="24">
        <v>313</v>
      </c>
      <c r="I47" s="8" t="s">
        <v>48</v>
      </c>
      <c r="K47" s="7">
        <v>1</v>
      </c>
      <c r="L47" s="8" t="s">
        <v>48</v>
      </c>
      <c r="M47" s="7">
        <v>0</v>
      </c>
      <c r="N47" s="10">
        <v>0</v>
      </c>
      <c r="O47" s="17" t="s">
        <v>191</v>
      </c>
      <c r="P47" s="11"/>
      <c r="Q47" s="11"/>
      <c r="R47" s="11"/>
      <c r="S47" s="11"/>
      <c r="T47" s="11"/>
    </row>
    <row r="48" spans="1:20" ht="15.75" customHeight="1">
      <c r="A48" s="7" t="s">
        <v>100</v>
      </c>
      <c r="B48" s="7" t="s">
        <v>101</v>
      </c>
      <c r="C48" s="7" t="s">
        <v>195</v>
      </c>
      <c r="D48" s="11" t="s">
        <v>196</v>
      </c>
      <c r="E48" s="7" t="s">
        <v>197</v>
      </c>
      <c r="F48" s="7" t="s">
        <v>54</v>
      </c>
      <c r="G48" s="8" t="s">
        <v>48</v>
      </c>
      <c r="H48" s="24">
        <v>102</v>
      </c>
      <c r="I48" s="8" t="s">
        <v>48</v>
      </c>
      <c r="K48" s="7">
        <v>1</v>
      </c>
      <c r="L48" s="8" t="s">
        <v>48</v>
      </c>
      <c r="M48" s="7">
        <v>0</v>
      </c>
      <c r="N48" s="10">
        <v>0</v>
      </c>
      <c r="O48" s="18" t="s">
        <v>55</v>
      </c>
      <c r="P48" s="6"/>
      <c r="Q48" s="6"/>
      <c r="R48" s="6"/>
      <c r="S48" s="6"/>
      <c r="T48" s="6"/>
    </row>
    <row r="49" spans="1:20" ht="15.75" customHeight="1">
      <c r="A49" s="7" t="s">
        <v>100</v>
      </c>
      <c r="B49" s="7" t="s">
        <v>101</v>
      </c>
      <c r="C49" s="7" t="s">
        <v>198</v>
      </c>
      <c r="D49" s="11" t="s">
        <v>52</v>
      </c>
      <c r="E49" s="7" t="s">
        <v>199</v>
      </c>
      <c r="F49" s="7" t="s">
        <v>200</v>
      </c>
      <c r="G49" s="8" t="s">
        <v>48</v>
      </c>
      <c r="H49" s="24">
        <v>116</v>
      </c>
      <c r="I49" s="8" t="s">
        <v>48</v>
      </c>
      <c r="K49" s="7">
        <v>1</v>
      </c>
      <c r="L49" s="8" t="s">
        <v>48</v>
      </c>
      <c r="M49" s="7">
        <v>0</v>
      </c>
      <c r="N49" s="10">
        <v>0</v>
      </c>
      <c r="O49" s="11" t="s">
        <v>55</v>
      </c>
      <c r="P49" s="11"/>
      <c r="Q49" s="11"/>
      <c r="R49" s="11"/>
      <c r="S49" s="11"/>
      <c r="T49" s="11"/>
    </row>
    <row r="50" spans="1:20" ht="15.75" customHeight="1">
      <c r="A50" s="7" t="s">
        <v>100</v>
      </c>
      <c r="B50" s="7" t="s">
        <v>101</v>
      </c>
      <c r="C50" s="7" t="s">
        <v>201</v>
      </c>
      <c r="D50" s="11" t="s">
        <v>202</v>
      </c>
      <c r="E50" s="7" t="s">
        <v>203</v>
      </c>
      <c r="F50" s="7" t="s">
        <v>204</v>
      </c>
      <c r="G50" s="8" t="s">
        <v>21</v>
      </c>
      <c r="H50" s="24">
        <v>919</v>
      </c>
      <c r="I50" s="8" t="s">
        <v>21</v>
      </c>
      <c r="K50" s="7">
        <v>13</v>
      </c>
      <c r="L50" s="8" t="s">
        <v>87</v>
      </c>
      <c r="M50" s="7">
        <v>0</v>
      </c>
      <c r="N50" s="10">
        <v>0</v>
      </c>
      <c r="O50" s="11" t="s">
        <v>205</v>
      </c>
      <c r="P50" s="11"/>
      <c r="Q50" s="11"/>
      <c r="R50" s="11"/>
      <c r="S50" s="11"/>
      <c r="T50" s="11"/>
    </row>
    <row r="51" spans="1:20" ht="13" customHeight="1">
      <c r="A51" s="7" t="s">
        <v>100</v>
      </c>
      <c r="B51" s="7" t="s">
        <v>16</v>
      </c>
      <c r="C51" s="16" t="s">
        <v>206</v>
      </c>
      <c r="D51" s="11" t="s">
        <v>156</v>
      </c>
      <c r="E51" s="7" t="s">
        <v>207</v>
      </c>
      <c r="F51" s="7" t="s">
        <v>161</v>
      </c>
      <c r="G51" s="8" t="s">
        <v>21</v>
      </c>
      <c r="H51" s="24">
        <v>3086</v>
      </c>
      <c r="I51" s="8" t="s">
        <v>21</v>
      </c>
      <c r="K51" s="7">
        <v>6</v>
      </c>
      <c r="L51" s="8" t="s">
        <v>22</v>
      </c>
      <c r="M51" s="7">
        <v>0</v>
      </c>
      <c r="N51" s="12">
        <v>0</v>
      </c>
      <c r="O51" s="11" t="s">
        <v>28</v>
      </c>
      <c r="P51" s="11"/>
      <c r="Q51" s="11"/>
      <c r="R51" s="11"/>
      <c r="S51" s="11"/>
      <c r="T51" s="11"/>
    </row>
    <row r="52" spans="1:20" ht="13" customHeight="1">
      <c r="A52" s="7" t="s">
        <v>100</v>
      </c>
      <c r="B52" s="7" t="s">
        <v>16</v>
      </c>
      <c r="C52" s="16" t="s">
        <v>208</v>
      </c>
      <c r="D52" s="11" t="s">
        <v>159</v>
      </c>
      <c r="E52" s="7" t="s">
        <v>209</v>
      </c>
      <c r="F52" s="7" t="s">
        <v>161</v>
      </c>
      <c r="G52" s="8" t="s">
        <v>21</v>
      </c>
      <c r="H52" s="24">
        <v>4078</v>
      </c>
      <c r="I52" s="8" t="s">
        <v>21</v>
      </c>
      <c r="K52" s="7">
        <v>6</v>
      </c>
      <c r="L52" s="8" t="s">
        <v>22</v>
      </c>
      <c r="M52" s="7">
        <v>0</v>
      </c>
      <c r="N52" s="12">
        <v>0</v>
      </c>
      <c r="O52" s="11" t="s">
        <v>210</v>
      </c>
      <c r="P52" s="11"/>
      <c r="Q52" s="11"/>
      <c r="R52" s="11"/>
      <c r="S52" s="11"/>
      <c r="T52" s="11"/>
    </row>
    <row r="53" spans="1:20" ht="13" customHeight="1">
      <c r="A53" s="7" t="s">
        <v>100</v>
      </c>
      <c r="B53" s="7" t="s">
        <v>16</v>
      </c>
      <c r="C53" s="7" t="s">
        <v>211</v>
      </c>
      <c r="D53" s="11" t="s">
        <v>212</v>
      </c>
      <c r="E53" s="7" t="s">
        <v>213</v>
      </c>
      <c r="F53" s="7" t="s">
        <v>146</v>
      </c>
      <c r="G53" s="8" t="s">
        <v>21</v>
      </c>
      <c r="H53" s="24">
        <v>810</v>
      </c>
      <c r="I53" s="8" t="s">
        <v>21</v>
      </c>
      <c r="K53" s="7">
        <v>6</v>
      </c>
      <c r="L53" s="8" t="s">
        <v>22</v>
      </c>
      <c r="M53" s="7">
        <v>0</v>
      </c>
      <c r="N53" s="12">
        <v>0</v>
      </c>
      <c r="O53" s="11" t="s">
        <v>210</v>
      </c>
      <c r="P53" s="11"/>
      <c r="Q53" s="11"/>
      <c r="R53" s="11"/>
      <c r="S53" s="11"/>
      <c r="T53" s="11"/>
    </row>
    <row r="54" spans="1:20" ht="13" customHeight="1">
      <c r="A54" s="7" t="s">
        <v>100</v>
      </c>
      <c r="B54" s="7" t="s">
        <v>16</v>
      </c>
      <c r="C54" s="7" t="s">
        <v>214</v>
      </c>
      <c r="D54" s="11" t="s">
        <v>215</v>
      </c>
      <c r="E54" s="7" t="s">
        <v>216</v>
      </c>
      <c r="F54" s="7" t="s">
        <v>217</v>
      </c>
      <c r="G54" s="8" t="s">
        <v>21</v>
      </c>
      <c r="H54" s="24">
        <v>384</v>
      </c>
      <c r="I54" s="8" t="s">
        <v>21</v>
      </c>
      <c r="K54" s="7">
        <v>6</v>
      </c>
      <c r="L54" s="8" t="s">
        <v>22</v>
      </c>
      <c r="M54" s="7">
        <v>0</v>
      </c>
      <c r="N54" s="12">
        <v>0</v>
      </c>
      <c r="O54" s="11" t="s">
        <v>49</v>
      </c>
      <c r="P54" s="11"/>
      <c r="Q54" s="11"/>
      <c r="R54" s="11"/>
      <c r="S54" s="11"/>
      <c r="T54" s="11"/>
    </row>
    <row r="55" spans="1:20" ht="13" customHeight="1">
      <c r="A55" s="7" t="s">
        <v>100</v>
      </c>
      <c r="B55" s="7" t="s">
        <v>16</v>
      </c>
      <c r="C55" s="7" t="s">
        <v>218</v>
      </c>
      <c r="D55" s="11" t="s">
        <v>219</v>
      </c>
      <c r="E55" s="7" t="s">
        <v>80</v>
      </c>
      <c r="F55" s="7" t="s">
        <v>220</v>
      </c>
      <c r="G55" s="8" t="s">
        <v>48</v>
      </c>
      <c r="H55" s="24">
        <v>184</v>
      </c>
      <c r="I55" s="8" t="s">
        <v>48</v>
      </c>
      <c r="K55" s="7">
        <v>1</v>
      </c>
      <c r="L55" s="8" t="s">
        <v>48</v>
      </c>
      <c r="M55" s="7">
        <v>0</v>
      </c>
      <c r="N55" s="12">
        <v>0</v>
      </c>
      <c r="O55" s="11" t="s">
        <v>221</v>
      </c>
      <c r="P55" s="11"/>
      <c r="Q55" s="11"/>
      <c r="R55" s="11"/>
      <c r="S55" s="11"/>
      <c r="T55" s="11"/>
    </row>
    <row r="56" spans="1:20" ht="13" customHeight="1">
      <c r="A56" s="7" t="s">
        <v>100</v>
      </c>
      <c r="B56" s="7" t="s">
        <v>16</v>
      </c>
      <c r="C56" s="7" t="s">
        <v>222</v>
      </c>
      <c r="D56" s="11" t="s">
        <v>223</v>
      </c>
      <c r="E56" s="7" t="s">
        <v>224</v>
      </c>
      <c r="F56" s="7" t="s">
        <v>161</v>
      </c>
      <c r="G56" s="8" t="s">
        <v>21</v>
      </c>
      <c r="H56" s="24">
        <v>217</v>
      </c>
      <c r="I56" s="8" t="s">
        <v>21</v>
      </c>
      <c r="K56" s="7">
        <v>50</v>
      </c>
      <c r="L56" s="8" t="s">
        <v>87</v>
      </c>
      <c r="M56" s="7">
        <v>0</v>
      </c>
      <c r="N56" s="12">
        <v>0</v>
      </c>
      <c r="O56" s="11" t="s">
        <v>210</v>
      </c>
      <c r="P56" s="11"/>
      <c r="Q56" s="11"/>
      <c r="R56" s="11"/>
      <c r="S56" s="11"/>
      <c r="T56" s="11"/>
    </row>
    <row r="57" spans="1:20" ht="13" customHeight="1">
      <c r="A57" s="7" t="s">
        <v>100</v>
      </c>
      <c r="B57" s="7" t="s">
        <v>16</v>
      </c>
      <c r="C57" s="7" t="s">
        <v>92</v>
      </c>
      <c r="D57" s="11" t="s">
        <v>93</v>
      </c>
      <c r="E57" s="7" t="s">
        <v>94</v>
      </c>
      <c r="F57" s="7" t="s">
        <v>161</v>
      </c>
      <c r="G57" s="8" t="s">
        <v>21</v>
      </c>
      <c r="H57" s="24">
        <v>184</v>
      </c>
      <c r="I57" s="8" t="s">
        <v>21</v>
      </c>
      <c r="K57" s="7">
        <v>28</v>
      </c>
      <c r="L57" s="8" t="s">
        <v>87</v>
      </c>
      <c r="M57" s="7">
        <v>0</v>
      </c>
      <c r="N57" s="12">
        <v>0</v>
      </c>
      <c r="O57" s="11" t="s">
        <v>225</v>
      </c>
      <c r="P57" s="11"/>
      <c r="Q57" s="11"/>
      <c r="R57" s="11"/>
      <c r="S57" s="11"/>
      <c r="T57" s="11"/>
    </row>
    <row r="58" spans="1:20" ht="13" customHeight="1">
      <c r="A58" s="7" t="s">
        <v>100</v>
      </c>
      <c r="B58" s="7" t="s">
        <v>16</v>
      </c>
      <c r="C58" s="7" t="s">
        <v>96</v>
      </c>
      <c r="D58" s="11" t="s">
        <v>97</v>
      </c>
      <c r="E58" s="7" t="s">
        <v>98</v>
      </c>
      <c r="F58" s="7" t="s">
        <v>226</v>
      </c>
      <c r="G58" s="8" t="s">
        <v>21</v>
      </c>
      <c r="H58" s="24">
        <v>184</v>
      </c>
      <c r="I58" s="8" t="s">
        <v>21</v>
      </c>
      <c r="K58" s="7">
        <v>25</v>
      </c>
      <c r="L58" s="8" t="s">
        <v>87</v>
      </c>
      <c r="M58" s="7">
        <v>0</v>
      </c>
      <c r="N58" s="12">
        <v>0</v>
      </c>
      <c r="O58" s="11" t="s">
        <v>225</v>
      </c>
      <c r="P58" s="11"/>
      <c r="Q58" s="11"/>
      <c r="R58" s="11"/>
      <c r="S58" s="11"/>
      <c r="T58" s="11"/>
    </row>
    <row r="59" spans="1:20" ht="13" customHeight="1">
      <c r="A59" s="7" t="s">
        <v>100</v>
      </c>
      <c r="B59" s="7" t="s">
        <v>16</v>
      </c>
      <c r="C59" s="7" t="s">
        <v>227</v>
      </c>
      <c r="D59" s="11" t="s">
        <v>228</v>
      </c>
      <c r="E59" s="7" t="s">
        <v>229</v>
      </c>
      <c r="F59" s="7" t="s">
        <v>230</v>
      </c>
      <c r="G59" s="8" t="s">
        <v>48</v>
      </c>
      <c r="H59" s="24">
        <v>8959</v>
      </c>
      <c r="I59" s="8" t="s">
        <v>48</v>
      </c>
      <c r="K59" s="7">
        <v>1</v>
      </c>
      <c r="L59" s="8" t="s">
        <v>48</v>
      </c>
      <c r="M59" s="7">
        <v>0</v>
      </c>
      <c r="N59" s="12">
        <v>0</v>
      </c>
      <c r="O59" s="11" t="s">
        <v>231</v>
      </c>
      <c r="P59" s="11"/>
      <c r="Q59" s="11"/>
      <c r="R59" s="11"/>
      <c r="S59" s="11"/>
      <c r="T59" s="11"/>
    </row>
    <row r="60" spans="1:20" ht="13" customHeight="1">
      <c r="A60" s="7" t="s">
        <v>100</v>
      </c>
      <c r="B60" s="7" t="s">
        <v>16</v>
      </c>
      <c r="C60" s="7" t="s">
        <v>235</v>
      </c>
      <c r="D60" s="11" t="s">
        <v>236</v>
      </c>
      <c r="E60" s="7" t="s">
        <v>237</v>
      </c>
      <c r="F60" s="7" t="s">
        <v>238</v>
      </c>
      <c r="G60" s="8" t="s">
        <v>48</v>
      </c>
      <c r="H60" s="24">
        <v>3429</v>
      </c>
      <c r="I60" s="8" t="s">
        <v>48</v>
      </c>
      <c r="K60" s="7">
        <v>1</v>
      </c>
      <c r="L60" s="8" t="s">
        <v>48</v>
      </c>
      <c r="M60" s="7">
        <v>0</v>
      </c>
      <c r="N60" s="12">
        <v>0</v>
      </c>
      <c r="O60" s="11" t="s">
        <v>234</v>
      </c>
      <c r="P60" s="11"/>
      <c r="Q60" s="11"/>
      <c r="R60" s="11"/>
      <c r="S60" s="11"/>
      <c r="T60" s="11"/>
    </row>
    <row r="61" spans="1:20" ht="13" customHeight="1">
      <c r="A61" s="7" t="s">
        <v>100</v>
      </c>
      <c r="B61" s="7" t="s">
        <v>16</v>
      </c>
      <c r="C61" s="7" t="s">
        <v>239</v>
      </c>
      <c r="D61" s="11" t="s">
        <v>240</v>
      </c>
      <c r="E61" s="7" t="s">
        <v>241</v>
      </c>
      <c r="F61" s="7" t="s">
        <v>238</v>
      </c>
      <c r="G61" s="8" t="s">
        <v>48</v>
      </c>
      <c r="H61" s="24">
        <v>3247</v>
      </c>
      <c r="I61" s="8" t="s">
        <v>48</v>
      </c>
      <c r="K61" s="7">
        <v>1</v>
      </c>
      <c r="L61" s="8" t="s">
        <v>48</v>
      </c>
      <c r="M61" s="7">
        <v>0</v>
      </c>
      <c r="N61" s="12">
        <v>0</v>
      </c>
      <c r="O61" s="11" t="s">
        <v>234</v>
      </c>
      <c r="P61" s="11"/>
      <c r="Q61" s="11"/>
      <c r="R61" s="11"/>
      <c r="S61" s="11"/>
      <c r="T61" s="11"/>
    </row>
    <row r="62" spans="1:20" ht="13" customHeight="1">
      <c r="A62" s="7" t="s">
        <v>100</v>
      </c>
      <c r="B62" s="7" t="s">
        <v>16</v>
      </c>
      <c r="C62" s="7" t="s">
        <v>242</v>
      </c>
      <c r="D62" s="11" t="s">
        <v>243</v>
      </c>
      <c r="E62" s="7" t="s">
        <v>244</v>
      </c>
      <c r="F62" s="7" t="s">
        <v>238</v>
      </c>
      <c r="G62" s="8" t="s">
        <v>48</v>
      </c>
      <c r="H62" s="24">
        <v>2699</v>
      </c>
      <c r="I62" s="8" t="s">
        <v>48</v>
      </c>
      <c r="K62" s="7">
        <v>1</v>
      </c>
      <c r="L62" s="8" t="s">
        <v>48</v>
      </c>
      <c r="M62" s="7">
        <v>0</v>
      </c>
      <c r="N62" s="12">
        <v>0</v>
      </c>
      <c r="O62" s="11" t="s">
        <v>234</v>
      </c>
      <c r="P62" s="11"/>
      <c r="Q62" s="11"/>
      <c r="R62" s="11"/>
      <c r="S62" s="11"/>
      <c r="T62" s="11"/>
    </row>
    <row r="63" spans="1:20" ht="13" customHeight="1">
      <c r="A63" s="7" t="s">
        <v>100</v>
      </c>
      <c r="B63" s="7" t="s">
        <v>16</v>
      </c>
      <c r="C63" s="7" t="s">
        <v>245</v>
      </c>
      <c r="D63" s="11" t="s">
        <v>246</v>
      </c>
      <c r="E63" s="7" t="s">
        <v>247</v>
      </c>
      <c r="F63" s="7" t="s">
        <v>238</v>
      </c>
      <c r="G63" s="8" t="s">
        <v>119</v>
      </c>
      <c r="H63" s="24">
        <v>1336</v>
      </c>
      <c r="I63" s="8" t="s">
        <v>119</v>
      </c>
      <c r="K63" s="7">
        <v>1</v>
      </c>
      <c r="L63" s="8" t="s">
        <v>119</v>
      </c>
      <c r="M63" s="7">
        <v>0</v>
      </c>
      <c r="N63" s="12">
        <v>0</v>
      </c>
      <c r="O63" s="11" t="s">
        <v>234</v>
      </c>
      <c r="P63" s="11"/>
      <c r="Q63" s="11"/>
      <c r="R63" s="11"/>
      <c r="S63" s="11"/>
      <c r="T63" s="11"/>
    </row>
    <row r="64" spans="1:20" ht="13" customHeight="1">
      <c r="A64" s="7" t="s">
        <v>100</v>
      </c>
      <c r="B64" s="7" t="s">
        <v>101</v>
      </c>
      <c r="C64" s="7" t="s">
        <v>249</v>
      </c>
      <c r="D64" s="11" t="s">
        <v>250</v>
      </c>
      <c r="E64" s="7" t="s">
        <v>251</v>
      </c>
      <c r="F64" s="7" t="s">
        <v>252</v>
      </c>
      <c r="G64" s="8" t="s">
        <v>119</v>
      </c>
      <c r="H64" s="24">
        <v>384</v>
      </c>
      <c r="I64" s="8" t="s">
        <v>119</v>
      </c>
      <c r="K64" s="7">
        <v>1</v>
      </c>
      <c r="L64" s="8" t="s">
        <v>119</v>
      </c>
      <c r="M64" s="7">
        <v>0</v>
      </c>
      <c r="N64" s="10">
        <v>0</v>
      </c>
      <c r="O64" s="11" t="s">
        <v>49</v>
      </c>
      <c r="P64" s="11"/>
      <c r="Q64" s="11"/>
      <c r="R64" s="11"/>
      <c r="S64" s="11"/>
      <c r="T64" s="11"/>
    </row>
    <row r="65" spans="1:20" ht="13" customHeight="1">
      <c r="A65" s="7" t="s">
        <v>100</v>
      </c>
      <c r="B65" s="7" t="s">
        <v>101</v>
      </c>
      <c r="C65" s="7" t="s">
        <v>253</v>
      </c>
      <c r="D65" s="11" t="s">
        <v>156</v>
      </c>
      <c r="E65" s="7" t="s">
        <v>254</v>
      </c>
      <c r="F65" s="7" t="s">
        <v>150</v>
      </c>
      <c r="G65" s="8" t="s">
        <v>21</v>
      </c>
      <c r="H65" s="24">
        <v>7827</v>
      </c>
      <c r="I65" s="8" t="s">
        <v>21</v>
      </c>
      <c r="K65" s="7">
        <v>6</v>
      </c>
      <c r="L65" s="8" t="s">
        <v>22</v>
      </c>
      <c r="M65" s="7">
        <v>0</v>
      </c>
      <c r="N65" s="10">
        <v>0</v>
      </c>
      <c r="O65" s="11" t="s">
        <v>28</v>
      </c>
      <c r="P65" s="11"/>
      <c r="Q65" s="11"/>
      <c r="R65" s="11"/>
      <c r="S65" s="11"/>
      <c r="T65" s="11"/>
    </row>
    <row r="66" spans="1:20" ht="13" customHeight="1">
      <c r="A66" s="7" t="s">
        <v>100</v>
      </c>
      <c r="B66" s="7" t="s">
        <v>101</v>
      </c>
      <c r="C66" s="7" t="s">
        <v>255</v>
      </c>
      <c r="D66" s="11" t="s">
        <v>256</v>
      </c>
      <c r="E66" s="7" t="s">
        <v>257</v>
      </c>
      <c r="F66" s="7" t="s">
        <v>258</v>
      </c>
      <c r="G66" s="8" t="s">
        <v>21</v>
      </c>
      <c r="H66" s="24">
        <v>8225</v>
      </c>
      <c r="I66" s="8" t="s">
        <v>21</v>
      </c>
      <c r="K66" s="7">
        <v>6</v>
      </c>
      <c r="L66" s="8" t="s">
        <v>22</v>
      </c>
      <c r="M66" s="7">
        <v>0</v>
      </c>
      <c r="N66" s="10">
        <v>0</v>
      </c>
      <c r="O66" s="11" t="s">
        <v>259</v>
      </c>
      <c r="P66" s="11"/>
      <c r="Q66" s="11"/>
      <c r="R66" s="11"/>
      <c r="S66" s="11"/>
      <c r="T66" s="11"/>
    </row>
    <row r="67" spans="1:20" ht="13" customHeight="1">
      <c r="A67" s="7" t="s">
        <v>100</v>
      </c>
      <c r="B67" s="7" t="s">
        <v>101</v>
      </c>
      <c r="C67" s="7" t="s">
        <v>260</v>
      </c>
      <c r="D67" s="11" t="s">
        <v>212</v>
      </c>
      <c r="E67" s="7" t="s">
        <v>261</v>
      </c>
      <c r="F67" s="7" t="s">
        <v>150</v>
      </c>
      <c r="G67" s="8" t="s">
        <v>21</v>
      </c>
      <c r="H67" s="24">
        <v>992</v>
      </c>
      <c r="I67" s="8" t="s">
        <v>21</v>
      </c>
      <c r="K67" s="7">
        <v>6</v>
      </c>
      <c r="L67" s="8" t="s">
        <v>22</v>
      </c>
      <c r="M67" s="7">
        <v>0</v>
      </c>
      <c r="N67" s="10">
        <v>0</v>
      </c>
      <c r="O67" s="11" t="s">
        <v>28</v>
      </c>
      <c r="P67" s="11"/>
      <c r="Q67" s="11"/>
      <c r="R67" s="11"/>
      <c r="S67" s="11"/>
      <c r="T67" s="11"/>
    </row>
    <row r="68" spans="1:20" ht="13" customHeight="1">
      <c r="A68" s="7" t="s">
        <v>100</v>
      </c>
      <c r="B68" s="7" t="s">
        <v>101</v>
      </c>
      <c r="C68" s="7" t="s">
        <v>262</v>
      </c>
      <c r="D68" s="11" t="s">
        <v>159</v>
      </c>
      <c r="E68" s="7" t="s">
        <v>263</v>
      </c>
      <c r="F68" s="7" t="s">
        <v>146</v>
      </c>
      <c r="G68" s="8" t="s">
        <v>21</v>
      </c>
      <c r="H68" s="24">
        <v>153</v>
      </c>
      <c r="I68" s="8" t="s">
        <v>21</v>
      </c>
      <c r="K68" s="7">
        <v>6</v>
      </c>
      <c r="L68" s="8" t="s">
        <v>22</v>
      </c>
      <c r="M68" s="7">
        <v>0</v>
      </c>
      <c r="N68" s="10">
        <v>0</v>
      </c>
      <c r="O68" s="11" t="s">
        <v>210</v>
      </c>
      <c r="P68" s="11"/>
      <c r="Q68" s="11"/>
      <c r="R68" s="11"/>
      <c r="S68" s="11"/>
      <c r="T68" s="11"/>
    </row>
    <row r="69" spans="1:20" ht="13" customHeight="1">
      <c r="A69" s="7" t="s">
        <v>100</v>
      </c>
      <c r="B69" s="7" t="s">
        <v>101</v>
      </c>
      <c r="C69" s="7" t="s">
        <v>264</v>
      </c>
      <c r="D69" s="11" t="s">
        <v>212</v>
      </c>
      <c r="E69" s="7" t="s">
        <v>189</v>
      </c>
      <c r="F69" s="7" t="s">
        <v>265</v>
      </c>
      <c r="G69" s="8" t="s">
        <v>21</v>
      </c>
      <c r="H69" s="24">
        <v>196</v>
      </c>
      <c r="I69" s="8" t="s">
        <v>21</v>
      </c>
      <c r="K69" s="7">
        <v>6</v>
      </c>
      <c r="L69" s="8" t="s">
        <v>22</v>
      </c>
      <c r="M69" s="7">
        <v>0</v>
      </c>
      <c r="N69" s="10">
        <v>0</v>
      </c>
      <c r="O69" s="11" t="s">
        <v>225</v>
      </c>
      <c r="P69" s="11"/>
      <c r="Q69" s="11"/>
      <c r="R69" s="11"/>
      <c r="S69" s="11"/>
      <c r="T69" s="11"/>
    </row>
    <row r="70" spans="1:20" ht="13" customHeight="1">
      <c r="A70" s="7" t="s">
        <v>100</v>
      </c>
      <c r="B70" s="7" t="s">
        <v>101</v>
      </c>
      <c r="C70" s="7" t="s">
        <v>266</v>
      </c>
      <c r="D70" s="11" t="s">
        <v>228</v>
      </c>
      <c r="E70" s="7" t="s">
        <v>267</v>
      </c>
      <c r="F70" s="7" t="s">
        <v>230</v>
      </c>
      <c r="G70" s="8" t="s">
        <v>119</v>
      </c>
      <c r="H70" s="24">
        <v>62832</v>
      </c>
      <c r="I70" s="8" t="s">
        <v>119</v>
      </c>
      <c r="K70" s="7">
        <v>1</v>
      </c>
      <c r="L70" s="8" t="s">
        <v>119</v>
      </c>
      <c r="M70" s="7">
        <v>0</v>
      </c>
      <c r="N70" s="10">
        <v>0</v>
      </c>
      <c r="O70" s="11" t="s">
        <v>231</v>
      </c>
      <c r="P70" s="6"/>
      <c r="Q70" s="6"/>
      <c r="R70" s="6"/>
      <c r="S70" s="6"/>
      <c r="T70" s="6"/>
    </row>
    <row r="71" spans="1:20" ht="13" customHeight="1">
      <c r="A71" s="7" t="s">
        <v>100</v>
      </c>
      <c r="B71" s="7" t="s">
        <v>101</v>
      </c>
      <c r="C71" s="7" t="s">
        <v>270</v>
      </c>
      <c r="D71" s="11" t="s">
        <v>271</v>
      </c>
      <c r="E71" s="7" t="s">
        <v>272</v>
      </c>
      <c r="F71" s="7" t="s">
        <v>273</v>
      </c>
      <c r="G71" s="8" t="s">
        <v>48</v>
      </c>
      <c r="H71" s="24">
        <v>1453</v>
      </c>
      <c r="I71" s="8" t="s">
        <v>48</v>
      </c>
      <c r="K71" s="7">
        <v>1</v>
      </c>
      <c r="L71" s="8" t="s">
        <v>48</v>
      </c>
      <c r="M71" s="7">
        <v>0</v>
      </c>
      <c r="N71" s="10">
        <v>0</v>
      </c>
      <c r="O71" s="11" t="s">
        <v>234</v>
      </c>
      <c r="P71" s="11"/>
      <c r="Q71" s="11"/>
      <c r="R71" s="11"/>
      <c r="S71" s="11"/>
      <c r="T71" s="11"/>
    </row>
    <row r="72" spans="1:20" ht="13" customHeight="1">
      <c r="A72" s="7" t="s">
        <v>100</v>
      </c>
      <c r="B72" s="7" t="s">
        <v>16</v>
      </c>
      <c r="C72" s="7" t="s">
        <v>274</v>
      </c>
      <c r="D72" s="11" t="s">
        <v>106</v>
      </c>
      <c r="E72" s="7" t="s">
        <v>107</v>
      </c>
      <c r="F72" s="7" t="s">
        <v>275</v>
      </c>
      <c r="G72" s="8" t="s">
        <v>48</v>
      </c>
      <c r="H72" s="24">
        <v>2505</v>
      </c>
      <c r="I72" s="8" t="s">
        <v>48</v>
      </c>
      <c r="K72" s="7">
        <v>1</v>
      </c>
      <c r="L72" s="8" t="s">
        <v>48</v>
      </c>
      <c r="M72" s="7">
        <v>0</v>
      </c>
      <c r="N72" s="12">
        <v>0</v>
      </c>
      <c r="O72" s="11" t="s">
        <v>276</v>
      </c>
      <c r="P72" s="11"/>
      <c r="Q72" s="11"/>
      <c r="R72" s="11"/>
      <c r="S72" s="11"/>
      <c r="T72" s="11"/>
    </row>
    <row r="73" spans="1:20" ht="13" customHeight="1">
      <c r="A73" s="7" t="s">
        <v>100</v>
      </c>
      <c r="B73" s="7" t="s">
        <v>120</v>
      </c>
      <c r="C73" s="7" t="s">
        <v>277</v>
      </c>
      <c r="D73" s="11" t="s">
        <v>156</v>
      </c>
      <c r="E73" s="7" t="s">
        <v>278</v>
      </c>
      <c r="F73" s="7" t="s">
        <v>279</v>
      </c>
      <c r="G73" s="8" t="s">
        <v>21</v>
      </c>
      <c r="H73" s="24">
        <v>8330</v>
      </c>
      <c r="I73" s="8" t="s">
        <v>21</v>
      </c>
      <c r="K73" s="7">
        <v>6</v>
      </c>
      <c r="L73" s="8" t="s">
        <v>22</v>
      </c>
      <c r="M73" s="7">
        <v>0</v>
      </c>
      <c r="N73" s="10">
        <v>0</v>
      </c>
      <c r="O73" s="11" t="s">
        <v>28</v>
      </c>
      <c r="P73" s="11"/>
      <c r="Q73" s="11"/>
      <c r="R73" s="11"/>
      <c r="S73" s="11"/>
      <c r="T73" s="11"/>
    </row>
    <row r="74" spans="1:20" ht="13" customHeight="1">
      <c r="A74" s="7" t="s">
        <v>100</v>
      </c>
      <c r="B74" s="7" t="s">
        <v>120</v>
      </c>
      <c r="C74" s="7" t="s">
        <v>280</v>
      </c>
      <c r="D74" s="11" t="s">
        <v>159</v>
      </c>
      <c r="E74" s="7" t="s">
        <v>281</v>
      </c>
      <c r="F74" s="7" t="s">
        <v>282</v>
      </c>
      <c r="G74" s="8" t="s">
        <v>21</v>
      </c>
      <c r="H74" s="24">
        <v>8728</v>
      </c>
      <c r="I74" s="8" t="s">
        <v>21</v>
      </c>
      <c r="K74" s="7">
        <v>6</v>
      </c>
      <c r="L74" s="8" t="s">
        <v>22</v>
      </c>
      <c r="M74" s="7">
        <v>0</v>
      </c>
      <c r="N74" s="10">
        <v>0</v>
      </c>
      <c r="O74" s="11" t="s">
        <v>210</v>
      </c>
      <c r="P74" s="11"/>
      <c r="Q74" s="11"/>
      <c r="R74" s="11"/>
      <c r="S74" s="11"/>
      <c r="T74" s="11"/>
    </row>
    <row r="75" spans="1:20" ht="13" customHeight="1">
      <c r="A75" s="7" t="s">
        <v>100</v>
      </c>
      <c r="B75" s="7" t="s">
        <v>120</v>
      </c>
      <c r="C75" s="7" t="s">
        <v>283</v>
      </c>
      <c r="D75" s="11" t="s">
        <v>163</v>
      </c>
      <c r="E75" s="7" t="s">
        <v>284</v>
      </c>
      <c r="F75" s="7" t="s">
        <v>285</v>
      </c>
      <c r="G75" s="8" t="s">
        <v>21</v>
      </c>
      <c r="H75" s="24">
        <v>5809</v>
      </c>
      <c r="I75" s="8" t="s">
        <v>21</v>
      </c>
      <c r="K75" s="7">
        <v>6</v>
      </c>
      <c r="L75" s="8" t="s">
        <v>22</v>
      </c>
      <c r="M75" s="7">
        <v>0</v>
      </c>
      <c r="N75" s="10">
        <v>0</v>
      </c>
      <c r="O75" s="11" t="s">
        <v>166</v>
      </c>
      <c r="P75" s="11"/>
      <c r="Q75" s="11"/>
      <c r="R75" s="11"/>
      <c r="S75" s="11"/>
      <c r="T75" s="11"/>
    </row>
    <row r="76" spans="1:20" ht="13" customHeight="1">
      <c r="A76" s="7" t="s">
        <v>100</v>
      </c>
      <c r="B76" s="7" t="s">
        <v>120</v>
      </c>
      <c r="C76" s="7" t="s">
        <v>286</v>
      </c>
      <c r="D76" s="11" t="s">
        <v>212</v>
      </c>
      <c r="E76" s="7" t="s">
        <v>287</v>
      </c>
      <c r="F76" s="7" t="s">
        <v>282</v>
      </c>
      <c r="G76" s="8" t="s">
        <v>21</v>
      </c>
      <c r="H76" s="24">
        <v>992</v>
      </c>
      <c r="I76" s="8" t="s">
        <v>21</v>
      </c>
      <c r="K76" s="7">
        <v>6</v>
      </c>
      <c r="L76" s="8" t="s">
        <v>22</v>
      </c>
      <c r="M76" s="7">
        <v>0</v>
      </c>
      <c r="N76" s="10">
        <v>0</v>
      </c>
      <c r="O76" s="11" t="s">
        <v>225</v>
      </c>
      <c r="P76" s="11"/>
      <c r="Q76" s="11"/>
      <c r="R76" s="11"/>
      <c r="S76" s="11"/>
      <c r="T76" s="11"/>
    </row>
    <row r="77" spans="1:20" ht="13" customHeight="1">
      <c r="A77" s="7" t="s">
        <v>100</v>
      </c>
      <c r="B77" s="7" t="s">
        <v>120</v>
      </c>
      <c r="C77" s="7" t="s">
        <v>288</v>
      </c>
      <c r="D77" s="11" t="s">
        <v>62</v>
      </c>
      <c r="E77" s="7" t="s">
        <v>263</v>
      </c>
      <c r="F77" s="7" t="s">
        <v>289</v>
      </c>
      <c r="G77" s="8" t="s">
        <v>48</v>
      </c>
      <c r="H77" s="24">
        <v>153</v>
      </c>
      <c r="I77" s="8" t="s">
        <v>48</v>
      </c>
      <c r="K77" s="7">
        <v>1</v>
      </c>
      <c r="L77" s="8" t="s">
        <v>48</v>
      </c>
      <c r="M77" s="7">
        <v>0</v>
      </c>
      <c r="N77" s="10">
        <v>0</v>
      </c>
      <c r="O77" s="17" t="s">
        <v>290</v>
      </c>
      <c r="P77" s="11"/>
      <c r="Q77" s="11"/>
      <c r="R77" s="11"/>
      <c r="S77" s="11"/>
      <c r="T77" s="11"/>
    </row>
    <row r="78" spans="1:20" ht="13" customHeight="1">
      <c r="A78" s="7" t="s">
        <v>100</v>
      </c>
      <c r="B78" s="7" t="s">
        <v>120</v>
      </c>
      <c r="C78" s="7" t="s">
        <v>291</v>
      </c>
      <c r="D78" s="11" t="s">
        <v>79</v>
      </c>
      <c r="E78" s="7" t="s">
        <v>197</v>
      </c>
      <c r="F78" s="7" t="s">
        <v>292</v>
      </c>
      <c r="G78" s="8" t="s">
        <v>48</v>
      </c>
      <c r="H78" s="24">
        <v>184</v>
      </c>
      <c r="I78" s="8" t="s">
        <v>48</v>
      </c>
      <c r="K78" s="7">
        <v>1</v>
      </c>
      <c r="L78" s="8" t="s">
        <v>48</v>
      </c>
      <c r="M78" s="7">
        <v>0</v>
      </c>
      <c r="N78" s="10">
        <v>0</v>
      </c>
      <c r="O78" s="11" t="s">
        <v>82</v>
      </c>
      <c r="P78" s="11"/>
      <c r="Q78" s="11"/>
      <c r="R78" s="11"/>
      <c r="S78" s="11"/>
      <c r="T78" s="11"/>
    </row>
    <row r="79" spans="1:20" ht="13" customHeight="1">
      <c r="A79" s="7" t="s">
        <v>100</v>
      </c>
      <c r="B79" s="7" t="s">
        <v>120</v>
      </c>
      <c r="C79" s="7" t="s">
        <v>293</v>
      </c>
      <c r="D79" s="11" t="s">
        <v>62</v>
      </c>
      <c r="E79" s="7" t="s">
        <v>199</v>
      </c>
      <c r="F79" s="7" t="s">
        <v>294</v>
      </c>
      <c r="G79" s="8" t="s">
        <v>48</v>
      </c>
      <c r="H79" s="24">
        <v>581</v>
      </c>
      <c r="I79" s="8" t="s">
        <v>48</v>
      </c>
      <c r="K79" s="7">
        <v>1</v>
      </c>
      <c r="L79" s="8" t="s">
        <v>48</v>
      </c>
      <c r="M79" s="7">
        <v>0</v>
      </c>
      <c r="N79" s="10">
        <v>0</v>
      </c>
      <c r="O79" s="17" t="s">
        <v>295</v>
      </c>
      <c r="P79" s="11"/>
      <c r="Q79" s="11"/>
      <c r="R79" s="11"/>
      <c r="S79" s="11"/>
      <c r="T79" s="11"/>
    </row>
    <row r="80" spans="1:20" ht="13" customHeight="1">
      <c r="A80" s="7" t="s">
        <v>100</v>
      </c>
      <c r="B80" s="7" t="s">
        <v>120</v>
      </c>
      <c r="C80" s="7" t="s">
        <v>296</v>
      </c>
      <c r="D80" s="11" t="s">
        <v>223</v>
      </c>
      <c r="E80" s="7" t="s">
        <v>224</v>
      </c>
      <c r="F80" s="7" t="s">
        <v>282</v>
      </c>
      <c r="G80" s="8" t="s">
        <v>21</v>
      </c>
      <c r="H80" s="24">
        <v>217</v>
      </c>
      <c r="I80" s="8" t="s">
        <v>21</v>
      </c>
      <c r="K80" s="7">
        <v>50</v>
      </c>
      <c r="L80" s="8" t="s">
        <v>87</v>
      </c>
      <c r="M80" s="7">
        <v>0</v>
      </c>
      <c r="N80" s="10">
        <v>0</v>
      </c>
      <c r="O80" s="11" t="s">
        <v>297</v>
      </c>
      <c r="P80" s="11"/>
      <c r="Q80" s="11"/>
      <c r="R80" s="11"/>
      <c r="S80" s="11"/>
      <c r="T80" s="11"/>
    </row>
    <row r="81" spans="1:21" ht="13" customHeight="1">
      <c r="A81" s="7" t="s">
        <v>100</v>
      </c>
      <c r="B81" s="7" t="s">
        <v>120</v>
      </c>
      <c r="C81" s="7" t="s">
        <v>298</v>
      </c>
      <c r="D81" s="11" t="s">
        <v>93</v>
      </c>
      <c r="E81" s="7" t="s">
        <v>103</v>
      </c>
      <c r="F81" s="7" t="s">
        <v>282</v>
      </c>
      <c r="G81" s="8" t="s">
        <v>21</v>
      </c>
      <c r="H81" s="24">
        <v>150</v>
      </c>
      <c r="I81" s="8" t="s">
        <v>21</v>
      </c>
      <c r="K81" s="7">
        <v>27</v>
      </c>
      <c r="L81" s="8" t="s">
        <v>87</v>
      </c>
      <c r="M81" s="7">
        <v>0</v>
      </c>
      <c r="N81" s="10">
        <v>0</v>
      </c>
      <c r="O81" s="11" t="s">
        <v>225</v>
      </c>
      <c r="P81" s="11"/>
      <c r="Q81" s="11"/>
      <c r="R81" s="11"/>
      <c r="S81" s="11"/>
      <c r="T81" s="11"/>
    </row>
    <row r="82" spans="1:21" ht="13" customHeight="1">
      <c r="A82" s="7" t="s">
        <v>100</v>
      </c>
      <c r="B82" s="7" t="s">
        <v>120</v>
      </c>
      <c r="C82" s="7" t="s">
        <v>299</v>
      </c>
      <c r="D82" s="11" t="s">
        <v>300</v>
      </c>
      <c r="E82" s="7" t="s">
        <v>90</v>
      </c>
      <c r="F82" s="7" t="s">
        <v>279</v>
      </c>
      <c r="G82" s="8" t="s">
        <v>21</v>
      </c>
      <c r="H82" s="24">
        <v>150</v>
      </c>
      <c r="I82" s="8" t="s">
        <v>21</v>
      </c>
      <c r="K82" s="7">
        <v>30</v>
      </c>
      <c r="L82" s="8" t="s">
        <v>87</v>
      </c>
      <c r="M82" s="7">
        <v>0</v>
      </c>
      <c r="N82" s="10">
        <v>0</v>
      </c>
      <c r="O82" s="11" t="s">
        <v>28</v>
      </c>
      <c r="P82" s="11"/>
      <c r="Q82" s="11"/>
      <c r="R82" s="11"/>
      <c r="S82" s="11"/>
      <c r="T82" s="11"/>
    </row>
    <row r="83" spans="1:21" ht="13" customHeight="1">
      <c r="A83" s="7" t="s">
        <v>100</v>
      </c>
      <c r="B83" s="7" t="s">
        <v>120</v>
      </c>
      <c r="C83" s="7" t="s">
        <v>301</v>
      </c>
      <c r="D83" s="11" t="s">
        <v>302</v>
      </c>
      <c r="E83" s="7" t="s">
        <v>98</v>
      </c>
      <c r="F83" s="7" t="s">
        <v>282</v>
      </c>
      <c r="G83" s="8" t="s">
        <v>21</v>
      </c>
      <c r="H83" s="24">
        <v>184</v>
      </c>
      <c r="I83" s="8" t="s">
        <v>21</v>
      </c>
      <c r="K83" s="7">
        <v>25</v>
      </c>
      <c r="L83" s="8" t="s">
        <v>87</v>
      </c>
      <c r="M83" s="7">
        <v>0</v>
      </c>
      <c r="N83" s="10">
        <v>0</v>
      </c>
      <c r="O83" s="11" t="s">
        <v>225</v>
      </c>
      <c r="P83" s="11"/>
      <c r="Q83" s="11"/>
      <c r="R83" s="11"/>
      <c r="S83" s="11"/>
      <c r="T83" s="11"/>
    </row>
    <row r="84" spans="1:21" ht="13" customHeight="1">
      <c r="A84" s="7" t="s">
        <v>100</v>
      </c>
      <c r="B84" s="7" t="s">
        <v>120</v>
      </c>
      <c r="C84" s="7" t="s">
        <v>303</v>
      </c>
      <c r="D84" s="11" t="s">
        <v>228</v>
      </c>
      <c r="E84" s="7" t="s">
        <v>304</v>
      </c>
      <c r="F84" s="7" t="s">
        <v>305</v>
      </c>
      <c r="G84" s="8" t="s">
        <v>48</v>
      </c>
      <c r="H84" s="24">
        <v>8959</v>
      </c>
      <c r="I84" s="8" t="s">
        <v>48</v>
      </c>
      <c r="K84" s="7">
        <v>1</v>
      </c>
      <c r="L84" s="8" t="s">
        <v>48</v>
      </c>
      <c r="M84" s="7">
        <v>0</v>
      </c>
      <c r="N84" s="10">
        <v>0</v>
      </c>
      <c r="O84" s="11" t="s">
        <v>231</v>
      </c>
      <c r="P84" s="11"/>
      <c r="Q84" s="11"/>
      <c r="R84" s="11"/>
      <c r="S84" s="11"/>
      <c r="T84" s="11"/>
    </row>
    <row r="85" spans="1:21" ht="13" customHeight="1">
      <c r="A85" s="7" t="s">
        <v>100</v>
      </c>
      <c r="B85" s="7" t="s">
        <v>120</v>
      </c>
      <c r="C85" s="7" t="s">
        <v>308</v>
      </c>
      <c r="D85" s="11" t="s">
        <v>236</v>
      </c>
      <c r="E85" s="7" t="s">
        <v>111</v>
      </c>
      <c r="F85" s="7" t="s">
        <v>307</v>
      </c>
      <c r="G85" s="8" t="s">
        <v>48</v>
      </c>
      <c r="H85" s="24">
        <v>3429</v>
      </c>
      <c r="I85" s="8" t="s">
        <v>48</v>
      </c>
      <c r="K85" s="7">
        <v>1</v>
      </c>
      <c r="L85" s="8" t="s">
        <v>48</v>
      </c>
      <c r="M85" s="7">
        <v>0</v>
      </c>
      <c r="N85" s="10">
        <v>0</v>
      </c>
      <c r="O85" s="11" t="s">
        <v>234</v>
      </c>
      <c r="P85" s="11"/>
      <c r="Q85" s="11"/>
      <c r="R85" s="11"/>
      <c r="S85" s="11"/>
      <c r="T85" s="11"/>
    </row>
    <row r="86" spans="1:21" ht="13" customHeight="1">
      <c r="A86" s="7" t="s">
        <v>100</v>
      </c>
      <c r="B86" s="7" t="s">
        <v>120</v>
      </c>
      <c r="C86" s="7" t="s">
        <v>309</v>
      </c>
      <c r="D86" s="11" t="s">
        <v>240</v>
      </c>
      <c r="E86" s="7" t="s">
        <v>115</v>
      </c>
      <c r="F86" s="7" t="s">
        <v>307</v>
      </c>
      <c r="G86" s="8" t="s">
        <v>48</v>
      </c>
      <c r="H86" s="24">
        <v>3670</v>
      </c>
      <c r="I86" s="8" t="s">
        <v>48</v>
      </c>
      <c r="K86" s="7">
        <v>1</v>
      </c>
      <c r="L86" s="8" t="s">
        <v>48</v>
      </c>
      <c r="M86" s="7">
        <v>0</v>
      </c>
      <c r="N86" s="10">
        <v>0</v>
      </c>
      <c r="O86" s="11" t="s">
        <v>234</v>
      </c>
      <c r="P86" s="11"/>
      <c r="Q86" s="11"/>
      <c r="R86" s="11"/>
      <c r="S86" s="11"/>
      <c r="T86" s="11"/>
    </row>
    <row r="87" spans="1:21" ht="13" customHeight="1">
      <c r="A87" s="7" t="s">
        <v>100</v>
      </c>
      <c r="B87" s="7" t="s">
        <v>120</v>
      </c>
      <c r="C87" s="7" t="s">
        <v>310</v>
      </c>
      <c r="D87" s="11" t="s">
        <v>311</v>
      </c>
      <c r="E87" s="7" t="s">
        <v>118</v>
      </c>
      <c r="F87" s="7" t="s">
        <v>307</v>
      </c>
      <c r="G87" s="8" t="s">
        <v>119</v>
      </c>
      <c r="H87" s="24">
        <v>3120</v>
      </c>
      <c r="I87" s="8" t="s">
        <v>119</v>
      </c>
      <c r="K87" s="7">
        <v>1</v>
      </c>
      <c r="L87" s="8" t="s">
        <v>119</v>
      </c>
      <c r="M87" s="7">
        <v>0</v>
      </c>
      <c r="N87" s="10">
        <v>0</v>
      </c>
      <c r="O87" s="11" t="s">
        <v>234</v>
      </c>
      <c r="P87" s="11"/>
      <c r="Q87" s="11"/>
      <c r="R87" s="11"/>
      <c r="S87" s="11"/>
      <c r="T87" s="11"/>
    </row>
    <row r="88" spans="1:21" ht="13" customHeight="1">
      <c r="A88" s="7" t="s">
        <v>100</v>
      </c>
      <c r="B88" s="7" t="s">
        <v>120</v>
      </c>
      <c r="C88" s="7" t="s">
        <v>312</v>
      </c>
      <c r="D88" s="11" t="s">
        <v>246</v>
      </c>
      <c r="E88" s="7" t="s">
        <v>247</v>
      </c>
      <c r="F88" s="7" t="s">
        <v>307</v>
      </c>
      <c r="G88" s="8" t="s">
        <v>119</v>
      </c>
      <c r="H88" s="24">
        <v>1336</v>
      </c>
      <c r="I88" s="8" t="s">
        <v>119</v>
      </c>
      <c r="K88" s="7">
        <v>1</v>
      </c>
      <c r="L88" s="8" t="s">
        <v>119</v>
      </c>
      <c r="M88" s="7">
        <v>0</v>
      </c>
      <c r="N88" s="10">
        <v>0</v>
      </c>
      <c r="O88" s="11" t="s">
        <v>234</v>
      </c>
      <c r="P88" s="11"/>
      <c r="Q88" s="11"/>
      <c r="R88" s="11"/>
      <c r="S88" s="11"/>
      <c r="T88" s="11"/>
    </row>
    <row r="89" spans="1:21" ht="13" customHeight="1">
      <c r="A89" s="7" t="s">
        <v>100</v>
      </c>
      <c r="B89" s="7" t="s">
        <v>120</v>
      </c>
      <c r="C89" s="7" t="s">
        <v>106</v>
      </c>
      <c r="D89" s="11" t="s">
        <v>106</v>
      </c>
      <c r="E89" s="7" t="s">
        <v>313</v>
      </c>
      <c r="F89" s="7" t="s">
        <v>314</v>
      </c>
      <c r="G89" s="8" t="s">
        <v>48</v>
      </c>
      <c r="H89" s="24">
        <v>2505</v>
      </c>
      <c r="I89" s="8" t="s">
        <v>48</v>
      </c>
      <c r="K89" s="7">
        <v>1</v>
      </c>
      <c r="L89" s="8" t="s">
        <v>48</v>
      </c>
      <c r="M89" s="7">
        <v>0</v>
      </c>
      <c r="N89" s="10">
        <v>0</v>
      </c>
      <c r="O89" s="11" t="s">
        <v>276</v>
      </c>
      <c r="P89" s="11"/>
      <c r="Q89" s="11"/>
      <c r="R89" s="11"/>
      <c r="S89" s="11"/>
      <c r="T89" s="11"/>
    </row>
    <row r="90" spans="1:21" ht="13" customHeight="1">
      <c r="A90" s="7" t="s">
        <v>100</v>
      </c>
      <c r="B90" s="7" t="s">
        <v>120</v>
      </c>
      <c r="C90" s="7" t="s">
        <v>315</v>
      </c>
      <c r="D90" s="11" t="s">
        <v>168</v>
      </c>
      <c r="E90" s="7" t="s">
        <v>316</v>
      </c>
      <c r="F90" s="7" t="s">
        <v>317</v>
      </c>
      <c r="G90" s="8" t="s">
        <v>119</v>
      </c>
      <c r="H90" s="24">
        <v>2448</v>
      </c>
      <c r="I90" s="8" t="s">
        <v>119</v>
      </c>
      <c r="K90" s="7">
        <v>1</v>
      </c>
      <c r="L90" s="8" t="s">
        <v>119</v>
      </c>
      <c r="M90" s="7">
        <v>0</v>
      </c>
      <c r="N90" s="10">
        <v>0</v>
      </c>
      <c r="O90" s="11" t="s">
        <v>318</v>
      </c>
      <c r="P90" s="11"/>
      <c r="Q90" s="11"/>
      <c r="R90" s="11"/>
      <c r="S90" s="11"/>
      <c r="T90" s="11"/>
    </row>
    <row r="91" spans="1:21" ht="13" customHeight="1">
      <c r="A91" s="7" t="s">
        <v>100</v>
      </c>
      <c r="B91" s="7" t="s">
        <v>120</v>
      </c>
      <c r="C91" s="7" t="s">
        <v>319</v>
      </c>
      <c r="D91" s="11" t="s">
        <v>156</v>
      </c>
      <c r="E91" s="7" t="s">
        <v>278</v>
      </c>
      <c r="F91" s="7" t="s">
        <v>279</v>
      </c>
      <c r="G91" s="8" t="s">
        <v>21</v>
      </c>
      <c r="H91" s="24">
        <v>8330</v>
      </c>
      <c r="I91" s="8" t="s">
        <v>21</v>
      </c>
      <c r="K91" s="7">
        <v>6</v>
      </c>
      <c r="L91" s="8" t="s">
        <v>22</v>
      </c>
      <c r="M91" s="7">
        <v>0</v>
      </c>
      <c r="N91" s="10">
        <v>0</v>
      </c>
      <c r="O91" s="11" t="s">
        <v>28</v>
      </c>
      <c r="P91" s="11"/>
      <c r="Q91" s="11"/>
      <c r="R91" s="11"/>
      <c r="S91" s="11"/>
      <c r="T91" s="11"/>
    </row>
    <row r="92" spans="1:21" ht="13" customHeight="1">
      <c r="A92" s="7" t="s">
        <v>100</v>
      </c>
      <c r="B92" s="7" t="s">
        <v>120</v>
      </c>
      <c r="C92" s="7" t="s">
        <v>320</v>
      </c>
      <c r="D92" s="11" t="s">
        <v>159</v>
      </c>
      <c r="E92" s="7" t="s">
        <v>281</v>
      </c>
      <c r="F92" s="7" t="s">
        <v>282</v>
      </c>
      <c r="G92" s="8" t="s">
        <v>21</v>
      </c>
      <c r="H92" s="24">
        <v>8728</v>
      </c>
      <c r="I92" s="8" t="s">
        <v>21</v>
      </c>
      <c r="K92" s="7">
        <v>6</v>
      </c>
      <c r="L92" s="8" t="s">
        <v>22</v>
      </c>
      <c r="M92" s="7">
        <v>0</v>
      </c>
      <c r="N92" s="10">
        <v>0</v>
      </c>
      <c r="O92" s="11" t="s">
        <v>210</v>
      </c>
      <c r="P92" s="11"/>
      <c r="Q92" s="6"/>
      <c r="R92" s="6"/>
      <c r="S92" s="6"/>
      <c r="T92" s="6"/>
      <c r="U92" s="6"/>
    </row>
    <row r="93" spans="1:21" ht="13" customHeight="1">
      <c r="A93" s="7" t="s">
        <v>100</v>
      </c>
      <c r="B93" s="7" t="s">
        <v>120</v>
      </c>
      <c r="C93" s="7" t="s">
        <v>283</v>
      </c>
      <c r="D93" s="11" t="s">
        <v>163</v>
      </c>
      <c r="E93" s="7" t="s">
        <v>284</v>
      </c>
      <c r="F93" s="7" t="s">
        <v>285</v>
      </c>
      <c r="G93" s="8" t="s">
        <v>21</v>
      </c>
      <c r="H93" s="24">
        <v>5809</v>
      </c>
      <c r="I93" s="8" t="s">
        <v>21</v>
      </c>
      <c r="K93" s="7">
        <v>6</v>
      </c>
      <c r="L93" s="8" t="s">
        <v>22</v>
      </c>
      <c r="M93" s="7">
        <v>0</v>
      </c>
      <c r="N93" s="10">
        <v>0</v>
      </c>
      <c r="O93" s="11" t="s">
        <v>166</v>
      </c>
      <c r="Q93" s="11"/>
      <c r="R93" s="11"/>
      <c r="S93" s="11"/>
      <c r="T93" s="11"/>
      <c r="U93" s="11"/>
    </row>
    <row r="94" spans="1:21" ht="13" customHeight="1">
      <c r="A94" s="7" t="s">
        <v>100</v>
      </c>
      <c r="B94" s="7" t="s">
        <v>120</v>
      </c>
      <c r="C94" s="7" t="s">
        <v>286</v>
      </c>
      <c r="D94" s="11" t="s">
        <v>212</v>
      </c>
      <c r="E94" s="7" t="s">
        <v>287</v>
      </c>
      <c r="F94" s="7" t="s">
        <v>282</v>
      </c>
      <c r="G94" s="8" t="s">
        <v>21</v>
      </c>
      <c r="H94" s="24">
        <v>992</v>
      </c>
      <c r="I94" s="8" t="s">
        <v>21</v>
      </c>
      <c r="K94" s="7">
        <v>6</v>
      </c>
      <c r="L94" s="8" t="s">
        <v>22</v>
      </c>
      <c r="M94" s="7">
        <v>0</v>
      </c>
      <c r="N94" s="10">
        <v>0</v>
      </c>
      <c r="O94" s="11" t="s">
        <v>225</v>
      </c>
      <c r="Q94" s="11"/>
      <c r="R94" s="11"/>
      <c r="S94" s="11"/>
      <c r="T94" s="11"/>
      <c r="U94" s="11"/>
    </row>
    <row r="95" spans="1:21" ht="13" customHeight="1">
      <c r="A95" s="7" t="s">
        <v>100</v>
      </c>
      <c r="B95" s="7" t="s">
        <v>120</v>
      </c>
      <c r="C95" s="7" t="s">
        <v>321</v>
      </c>
      <c r="D95" s="11" t="s">
        <v>152</v>
      </c>
      <c r="E95" s="7" t="s">
        <v>322</v>
      </c>
      <c r="F95" s="7" t="s">
        <v>323</v>
      </c>
      <c r="G95" s="8" t="s">
        <v>21</v>
      </c>
      <c r="H95" s="24">
        <v>4196</v>
      </c>
      <c r="I95" s="8" t="s">
        <v>21</v>
      </c>
      <c r="K95" s="7">
        <v>4</v>
      </c>
      <c r="L95" s="8" t="s">
        <v>22</v>
      </c>
      <c r="M95" s="7">
        <v>0</v>
      </c>
      <c r="N95" s="10">
        <v>0</v>
      </c>
      <c r="O95" s="11" t="s">
        <v>23</v>
      </c>
      <c r="Q95" s="11"/>
      <c r="R95" s="11"/>
      <c r="S95" s="11"/>
      <c r="T95" s="11"/>
      <c r="U95" s="11"/>
    </row>
    <row r="96" spans="1:21" ht="13" customHeight="1">
      <c r="A96" s="7" t="s">
        <v>100</v>
      </c>
      <c r="B96" s="7" t="s">
        <v>120</v>
      </c>
      <c r="C96" s="7" t="s">
        <v>291</v>
      </c>
      <c r="D96" s="11" t="s">
        <v>79</v>
      </c>
      <c r="E96" s="7" t="s">
        <v>197</v>
      </c>
      <c r="F96" s="7" t="s">
        <v>292</v>
      </c>
      <c r="G96" s="8" t="s">
        <v>48</v>
      </c>
      <c r="H96" s="24">
        <v>184</v>
      </c>
      <c r="I96" s="8" t="s">
        <v>48</v>
      </c>
      <c r="K96" s="7">
        <v>1</v>
      </c>
      <c r="L96" s="8" t="s">
        <v>48</v>
      </c>
      <c r="M96" s="7">
        <v>0</v>
      </c>
      <c r="N96" s="10">
        <v>0</v>
      </c>
      <c r="O96" s="11" t="s">
        <v>82</v>
      </c>
      <c r="P96" s="11"/>
      <c r="Q96" s="11"/>
      <c r="R96" s="11"/>
      <c r="S96" s="11"/>
      <c r="T96" s="11"/>
      <c r="U96" s="11"/>
    </row>
    <row r="97" spans="1:26" ht="13" customHeight="1">
      <c r="A97" s="7" t="s">
        <v>100</v>
      </c>
      <c r="B97" s="7" t="s">
        <v>120</v>
      </c>
      <c r="C97" s="7" t="s">
        <v>296</v>
      </c>
      <c r="D97" s="11" t="s">
        <v>223</v>
      </c>
      <c r="E97" s="7" t="s">
        <v>224</v>
      </c>
      <c r="F97" s="7" t="s">
        <v>282</v>
      </c>
      <c r="G97" s="8" t="s">
        <v>21</v>
      </c>
      <c r="H97" s="24">
        <v>217</v>
      </c>
      <c r="I97" s="8" t="s">
        <v>21</v>
      </c>
      <c r="K97" s="7">
        <v>50</v>
      </c>
      <c r="L97" s="8" t="s">
        <v>87</v>
      </c>
      <c r="M97" s="7">
        <v>0</v>
      </c>
      <c r="N97" s="10">
        <v>0</v>
      </c>
      <c r="O97" s="11" t="s">
        <v>297</v>
      </c>
      <c r="Q97" s="11"/>
      <c r="R97" s="11"/>
      <c r="S97" s="11"/>
      <c r="T97" s="11"/>
      <c r="U97" s="11"/>
    </row>
    <row r="98" spans="1:26" ht="13" customHeight="1">
      <c r="A98" s="7" t="s">
        <v>100</v>
      </c>
      <c r="B98" s="7" t="s">
        <v>120</v>
      </c>
      <c r="C98" s="7" t="s">
        <v>324</v>
      </c>
      <c r="D98" s="11" t="s">
        <v>93</v>
      </c>
      <c r="E98" s="7" t="s">
        <v>103</v>
      </c>
      <c r="F98" s="7" t="s">
        <v>282</v>
      </c>
      <c r="G98" s="8" t="s">
        <v>21</v>
      </c>
      <c r="H98" s="24">
        <v>150</v>
      </c>
      <c r="I98" s="8" t="s">
        <v>21</v>
      </c>
      <c r="K98" s="7">
        <v>27</v>
      </c>
      <c r="L98" s="8" t="s">
        <v>87</v>
      </c>
      <c r="M98" s="7">
        <v>0</v>
      </c>
      <c r="N98" s="10">
        <v>0</v>
      </c>
      <c r="O98" s="11" t="s">
        <v>225</v>
      </c>
      <c r="Q98" s="11"/>
      <c r="R98" s="11"/>
      <c r="S98" s="11"/>
      <c r="T98" s="11"/>
      <c r="U98" s="11"/>
    </row>
    <row r="99" spans="1:26" ht="13" customHeight="1">
      <c r="A99" s="7" t="s">
        <v>100</v>
      </c>
      <c r="B99" s="7" t="s">
        <v>120</v>
      </c>
      <c r="C99" s="7" t="s">
        <v>325</v>
      </c>
      <c r="D99" s="11" t="s">
        <v>300</v>
      </c>
      <c r="E99" s="7" t="s">
        <v>90</v>
      </c>
      <c r="F99" s="7" t="s">
        <v>279</v>
      </c>
      <c r="G99" s="8" t="s">
        <v>21</v>
      </c>
      <c r="H99" s="24">
        <v>150</v>
      </c>
      <c r="I99" s="8" t="s">
        <v>21</v>
      </c>
      <c r="K99" s="7">
        <v>30</v>
      </c>
      <c r="L99" s="8" t="s">
        <v>87</v>
      </c>
      <c r="M99" s="7">
        <v>0</v>
      </c>
      <c r="N99" s="10">
        <v>0</v>
      </c>
      <c r="O99" s="11" t="s">
        <v>28</v>
      </c>
      <c r="Q99" s="11"/>
      <c r="R99" s="11"/>
      <c r="S99" s="11"/>
      <c r="T99" s="11"/>
      <c r="U99" s="11"/>
    </row>
    <row r="100" spans="1:26" ht="13" customHeight="1">
      <c r="A100" s="7" t="s">
        <v>100</v>
      </c>
      <c r="B100" s="7" t="s">
        <v>120</v>
      </c>
      <c r="C100" s="7" t="s">
        <v>326</v>
      </c>
      <c r="D100" s="11" t="s">
        <v>302</v>
      </c>
      <c r="E100" s="7" t="s">
        <v>98</v>
      </c>
      <c r="F100" s="7" t="s">
        <v>282</v>
      </c>
      <c r="G100" s="8" t="s">
        <v>21</v>
      </c>
      <c r="H100" s="24">
        <v>184</v>
      </c>
      <c r="I100" s="8" t="s">
        <v>21</v>
      </c>
      <c r="K100" s="7">
        <v>25</v>
      </c>
      <c r="L100" s="8" t="s">
        <v>87</v>
      </c>
      <c r="M100" s="7">
        <v>0</v>
      </c>
      <c r="N100" s="10">
        <v>0</v>
      </c>
      <c r="O100" s="11" t="s">
        <v>225</v>
      </c>
      <c r="P100" s="6"/>
      <c r="Q100" s="11"/>
      <c r="R100" s="11"/>
      <c r="S100" s="11"/>
      <c r="T100" s="11"/>
      <c r="U100" s="11"/>
    </row>
    <row r="101" spans="1:26" ht="13" customHeight="1">
      <c r="A101" s="7" t="s">
        <v>100</v>
      </c>
      <c r="B101" s="7" t="s">
        <v>120</v>
      </c>
      <c r="C101" s="7" t="s">
        <v>327</v>
      </c>
      <c r="D101" s="11" t="s">
        <v>228</v>
      </c>
      <c r="E101" s="7" t="s">
        <v>328</v>
      </c>
      <c r="F101" s="7" t="s">
        <v>305</v>
      </c>
      <c r="G101" s="8" t="s">
        <v>48</v>
      </c>
      <c r="H101" s="24">
        <v>8959</v>
      </c>
      <c r="I101" s="8" t="s">
        <v>48</v>
      </c>
      <c r="K101" s="7">
        <v>1</v>
      </c>
      <c r="L101" s="8" t="s">
        <v>48</v>
      </c>
      <c r="M101" s="7">
        <v>0</v>
      </c>
      <c r="N101" s="10">
        <v>0</v>
      </c>
      <c r="O101" s="11" t="s">
        <v>231</v>
      </c>
      <c r="P101" s="11"/>
      <c r="Q101" s="11"/>
      <c r="R101" s="11"/>
      <c r="S101" s="11"/>
      <c r="T101" s="11"/>
      <c r="U101" s="11"/>
    </row>
    <row r="102" spans="1:26" ht="13" customHeight="1">
      <c r="A102" s="7" t="s">
        <v>100</v>
      </c>
      <c r="B102" s="7" t="s">
        <v>120</v>
      </c>
      <c r="C102" s="7" t="s">
        <v>308</v>
      </c>
      <c r="D102" s="11" t="s">
        <v>236</v>
      </c>
      <c r="E102" s="7" t="s">
        <v>111</v>
      </c>
      <c r="F102" s="7" t="s">
        <v>307</v>
      </c>
      <c r="G102" s="8" t="s">
        <v>48</v>
      </c>
      <c r="H102" s="24">
        <v>3429</v>
      </c>
      <c r="I102" s="8" t="s">
        <v>48</v>
      </c>
      <c r="K102" s="7">
        <v>1</v>
      </c>
      <c r="L102" s="8" t="s">
        <v>48</v>
      </c>
      <c r="M102" s="7">
        <v>0</v>
      </c>
      <c r="N102" s="10">
        <v>0</v>
      </c>
      <c r="O102" s="11" t="s">
        <v>234</v>
      </c>
      <c r="P102" s="11"/>
      <c r="Q102" s="11"/>
      <c r="R102" s="11"/>
      <c r="S102" s="11"/>
      <c r="T102" s="11"/>
      <c r="U102" s="11"/>
    </row>
    <row r="103" spans="1:26" ht="13" customHeight="1">
      <c r="A103" s="7" t="s">
        <v>100</v>
      </c>
      <c r="B103" s="7" t="s">
        <v>120</v>
      </c>
      <c r="C103" s="7" t="s">
        <v>309</v>
      </c>
      <c r="D103" s="11" t="s">
        <v>240</v>
      </c>
      <c r="E103" s="7" t="s">
        <v>115</v>
      </c>
      <c r="F103" s="7" t="s">
        <v>307</v>
      </c>
      <c r="G103" s="8" t="s">
        <v>48</v>
      </c>
      <c r="H103" s="24">
        <v>3670</v>
      </c>
      <c r="I103" s="8" t="s">
        <v>48</v>
      </c>
      <c r="K103" s="7">
        <v>1</v>
      </c>
      <c r="L103" s="8" t="s">
        <v>48</v>
      </c>
      <c r="M103" s="7">
        <v>0</v>
      </c>
      <c r="N103" s="10">
        <v>0</v>
      </c>
      <c r="O103" s="11" t="s">
        <v>234</v>
      </c>
      <c r="P103" s="11"/>
      <c r="Q103" s="11"/>
      <c r="R103" s="11"/>
      <c r="S103" s="11"/>
      <c r="T103" s="11"/>
      <c r="U103" s="11"/>
    </row>
    <row r="104" spans="1:26" ht="13" customHeight="1">
      <c r="A104" s="7" t="s">
        <v>100</v>
      </c>
      <c r="B104" s="7" t="s">
        <v>120</v>
      </c>
      <c r="C104" s="7" t="s">
        <v>310</v>
      </c>
      <c r="D104" s="11" t="s">
        <v>311</v>
      </c>
      <c r="E104" s="7" t="s">
        <v>118</v>
      </c>
      <c r="F104" s="7" t="s">
        <v>307</v>
      </c>
      <c r="G104" s="8" t="s">
        <v>119</v>
      </c>
      <c r="H104" s="24">
        <v>3120</v>
      </c>
      <c r="I104" s="8" t="s">
        <v>119</v>
      </c>
      <c r="K104" s="7">
        <v>1</v>
      </c>
      <c r="L104" s="8" t="s">
        <v>119</v>
      </c>
      <c r="M104" s="7">
        <v>0</v>
      </c>
      <c r="N104" s="10">
        <v>0</v>
      </c>
      <c r="O104" s="11" t="s">
        <v>234</v>
      </c>
      <c r="P104" s="11"/>
      <c r="Q104" s="11"/>
      <c r="R104" s="11"/>
      <c r="S104" s="11"/>
      <c r="T104" s="11"/>
      <c r="U104" s="11"/>
    </row>
    <row r="105" spans="1:26" ht="13" customHeight="1">
      <c r="A105" s="7" t="s">
        <v>100</v>
      </c>
      <c r="B105" s="7" t="s">
        <v>120</v>
      </c>
      <c r="C105" s="7" t="s">
        <v>330</v>
      </c>
      <c r="D105" s="11" t="s">
        <v>246</v>
      </c>
      <c r="E105" s="7" t="s">
        <v>331</v>
      </c>
      <c r="F105" s="7" t="s">
        <v>307</v>
      </c>
      <c r="G105" s="8" t="s">
        <v>119</v>
      </c>
      <c r="H105" s="24">
        <v>1336</v>
      </c>
      <c r="I105" s="8" t="s">
        <v>119</v>
      </c>
      <c r="K105" s="7">
        <v>1</v>
      </c>
      <c r="L105" s="8" t="s">
        <v>119</v>
      </c>
      <c r="M105" s="7">
        <v>0</v>
      </c>
      <c r="N105" s="10">
        <v>0</v>
      </c>
      <c r="O105" s="11" t="s">
        <v>234</v>
      </c>
      <c r="P105" s="11"/>
      <c r="Q105" s="11"/>
      <c r="R105" s="11"/>
      <c r="S105" s="11"/>
      <c r="T105" s="11"/>
      <c r="U105" s="11"/>
    </row>
    <row r="106" spans="1:26" ht="13" customHeight="1">
      <c r="A106" s="7" t="s">
        <v>100</v>
      </c>
      <c r="B106" s="7" t="s">
        <v>120</v>
      </c>
      <c r="C106" s="7" t="s">
        <v>106</v>
      </c>
      <c r="D106" s="11" t="s">
        <v>106</v>
      </c>
      <c r="E106" s="7" t="s">
        <v>313</v>
      </c>
      <c r="F106" s="7" t="s">
        <v>314</v>
      </c>
      <c r="G106" s="8" t="s">
        <v>48</v>
      </c>
      <c r="H106" s="24">
        <v>2505</v>
      </c>
      <c r="I106" s="8" t="s">
        <v>48</v>
      </c>
      <c r="K106" s="7">
        <v>1</v>
      </c>
      <c r="L106" s="8" t="s">
        <v>48</v>
      </c>
      <c r="M106" s="7">
        <v>0</v>
      </c>
      <c r="N106" s="10">
        <v>0</v>
      </c>
      <c r="O106" s="11" t="s">
        <v>276</v>
      </c>
      <c r="P106" s="11"/>
      <c r="Q106" s="11"/>
      <c r="R106" s="11"/>
      <c r="S106" s="11"/>
      <c r="T106" s="11"/>
      <c r="U106" s="11"/>
    </row>
    <row r="107" spans="1:26" ht="13" customHeight="1">
      <c r="A107" s="7" t="s">
        <v>100</v>
      </c>
      <c r="B107" s="7" t="s">
        <v>120</v>
      </c>
      <c r="C107" s="7" t="s">
        <v>315</v>
      </c>
      <c r="D107" s="11" t="s">
        <v>168</v>
      </c>
      <c r="E107" s="7" t="s">
        <v>316</v>
      </c>
      <c r="F107" s="7" t="s">
        <v>317</v>
      </c>
      <c r="G107" s="8" t="s">
        <v>119</v>
      </c>
      <c r="H107" s="24">
        <v>2448</v>
      </c>
      <c r="I107" s="8" t="s">
        <v>119</v>
      </c>
      <c r="K107" s="7">
        <v>1</v>
      </c>
      <c r="L107" s="8" t="s">
        <v>119</v>
      </c>
      <c r="M107" s="7">
        <v>0</v>
      </c>
      <c r="N107" s="10">
        <v>0</v>
      </c>
      <c r="O107" s="11" t="s">
        <v>318</v>
      </c>
      <c r="P107" s="11"/>
      <c r="Q107" s="11"/>
      <c r="R107" s="11"/>
      <c r="S107" s="11"/>
      <c r="T107" s="11"/>
      <c r="U107" s="11"/>
    </row>
    <row r="108" spans="1:26" ht="13" customHeight="1">
      <c r="A108" s="7" t="s">
        <v>100</v>
      </c>
      <c r="B108" s="7" t="s">
        <v>120</v>
      </c>
      <c r="C108" s="7" t="s">
        <v>332</v>
      </c>
      <c r="D108" s="11" t="s">
        <v>250</v>
      </c>
      <c r="E108" s="7" t="s">
        <v>333</v>
      </c>
      <c r="F108" s="7" t="s">
        <v>334</v>
      </c>
      <c r="G108" s="8" t="s">
        <v>119</v>
      </c>
      <c r="H108" s="24">
        <v>398</v>
      </c>
      <c r="I108" s="8" t="s">
        <v>119</v>
      </c>
      <c r="K108" s="7">
        <v>1</v>
      </c>
      <c r="L108" s="8" t="s">
        <v>119</v>
      </c>
      <c r="M108" s="7">
        <v>0</v>
      </c>
      <c r="N108" s="10">
        <v>0</v>
      </c>
      <c r="O108" s="11" t="s">
        <v>49</v>
      </c>
      <c r="P108" s="11"/>
      <c r="Q108" s="11"/>
      <c r="R108" s="11"/>
      <c r="S108" s="11"/>
      <c r="T108" s="11"/>
      <c r="U108" s="11"/>
    </row>
    <row r="109" spans="1:26" ht="13" customHeight="1">
      <c r="A109" s="7" t="s">
        <v>100</v>
      </c>
      <c r="B109" s="7" t="s">
        <v>16</v>
      </c>
      <c r="C109" t="s">
        <v>335</v>
      </c>
      <c r="D109" s="11" t="s">
        <v>62</v>
      </c>
      <c r="E109" t="s">
        <v>336</v>
      </c>
      <c r="F109" s="11" t="s">
        <v>190</v>
      </c>
      <c r="G109" s="8" t="s">
        <v>48</v>
      </c>
      <c r="H109" s="25">
        <v>742</v>
      </c>
      <c r="I109" s="8" t="s">
        <v>48</v>
      </c>
      <c r="K109">
        <v>1</v>
      </c>
      <c r="L109" s="8" t="s">
        <v>48</v>
      </c>
      <c r="M109">
        <v>0</v>
      </c>
      <c r="N109" s="12">
        <v>0</v>
      </c>
      <c r="O109" s="18" t="s">
        <v>191</v>
      </c>
    </row>
    <row r="110" spans="1:26" ht="13" customHeight="1">
      <c r="A110" s="7" t="s">
        <v>100</v>
      </c>
      <c r="B110" s="7" t="s">
        <v>16</v>
      </c>
      <c r="C110" t="s">
        <v>337</v>
      </c>
      <c r="D110" s="11" t="s">
        <v>62</v>
      </c>
      <c r="E110" t="s">
        <v>338</v>
      </c>
      <c r="F110" s="11" t="s">
        <v>64</v>
      </c>
      <c r="G110" s="8" t="s">
        <v>48</v>
      </c>
      <c r="H110" s="25">
        <v>945</v>
      </c>
      <c r="I110" s="8" t="s">
        <v>48</v>
      </c>
      <c r="K110">
        <v>1</v>
      </c>
      <c r="L110" s="8" t="s">
        <v>48</v>
      </c>
      <c r="M110">
        <v>0</v>
      </c>
      <c r="N110" s="12">
        <v>0</v>
      </c>
      <c r="O110" s="18" t="s">
        <v>65</v>
      </c>
    </row>
    <row r="111" spans="1:26" ht="13" customHeight="1">
      <c r="A111" s="7" t="s">
        <v>100</v>
      </c>
      <c r="B111" s="7" t="s">
        <v>16</v>
      </c>
      <c r="C111" t="s">
        <v>339</v>
      </c>
      <c r="D111" s="11" t="s">
        <v>62</v>
      </c>
      <c r="E111" t="s">
        <v>63</v>
      </c>
      <c r="F111" s="11" t="s">
        <v>340</v>
      </c>
      <c r="G111" s="8" t="s">
        <v>48</v>
      </c>
      <c r="H111" s="25">
        <v>959</v>
      </c>
      <c r="I111" s="8" t="s">
        <v>48</v>
      </c>
      <c r="K111" s="7">
        <v>1</v>
      </c>
      <c r="L111" s="8" t="s">
        <v>48</v>
      </c>
      <c r="M111">
        <v>0</v>
      </c>
      <c r="N111" s="12">
        <v>0</v>
      </c>
      <c r="O111" s="18" t="s">
        <v>341</v>
      </c>
    </row>
    <row r="112" spans="1:26" ht="13" customHeight="1">
      <c r="A112" s="11" t="s">
        <v>100</v>
      </c>
      <c r="B112" s="11" t="s">
        <v>16</v>
      </c>
      <c r="C112" s="11" t="s">
        <v>599</v>
      </c>
      <c r="D112" s="11" t="s">
        <v>571</v>
      </c>
      <c r="E112" s="11" t="s">
        <v>304</v>
      </c>
      <c r="F112" s="11" t="s">
        <v>572</v>
      </c>
      <c r="G112" s="31" t="s">
        <v>48</v>
      </c>
      <c r="H112" s="27" t="s">
        <v>496</v>
      </c>
      <c r="I112" s="31" t="s">
        <v>48</v>
      </c>
      <c r="J112" s="11"/>
      <c r="K112" s="11">
        <v>1</v>
      </c>
      <c r="L112" s="11" t="s">
        <v>48</v>
      </c>
      <c r="M112" s="11">
        <v>0</v>
      </c>
      <c r="N112" s="11">
        <v>0</v>
      </c>
      <c r="O112" s="11" t="s">
        <v>597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" customHeight="1">
      <c r="A113" s="11" t="s">
        <v>100</v>
      </c>
      <c r="B113" s="11" t="s">
        <v>16</v>
      </c>
      <c r="C113" s="11" t="s">
        <v>573</v>
      </c>
      <c r="D113" s="11" t="s">
        <v>571</v>
      </c>
      <c r="E113" s="11" t="s">
        <v>229</v>
      </c>
      <c r="F113" s="11" t="s">
        <v>572</v>
      </c>
      <c r="G113" s="31" t="s">
        <v>48</v>
      </c>
      <c r="H113" s="27" t="s">
        <v>496</v>
      </c>
      <c r="I113" s="31" t="s">
        <v>48</v>
      </c>
      <c r="J113" s="11"/>
      <c r="K113" s="11">
        <v>1</v>
      </c>
      <c r="L113" s="11" t="s">
        <v>48</v>
      </c>
      <c r="M113" s="11">
        <v>0</v>
      </c>
      <c r="N113" s="11">
        <v>0</v>
      </c>
      <c r="O113" s="11" t="s">
        <v>597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" customHeight="1">
      <c r="A114" s="11" t="s">
        <v>100</v>
      </c>
      <c r="B114" s="11" t="s">
        <v>16</v>
      </c>
      <c r="C114" s="11" t="s">
        <v>574</v>
      </c>
      <c r="D114" s="11" t="s">
        <v>571</v>
      </c>
      <c r="E114" s="11" t="s">
        <v>575</v>
      </c>
      <c r="F114" s="11" t="s">
        <v>576</v>
      </c>
      <c r="G114" s="31" t="s">
        <v>48</v>
      </c>
      <c r="H114" s="27" t="s">
        <v>577</v>
      </c>
      <c r="I114" s="31" t="s">
        <v>48</v>
      </c>
      <c r="J114" s="11"/>
      <c r="K114" s="11">
        <v>1</v>
      </c>
      <c r="L114" s="11" t="s">
        <v>48</v>
      </c>
      <c r="M114" s="11">
        <v>0</v>
      </c>
      <c r="N114" s="11">
        <v>0</v>
      </c>
      <c r="O114" s="11" t="s">
        <v>598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" customHeight="1">
      <c r="A115" s="11" t="s">
        <v>100</v>
      </c>
      <c r="B115" s="11" t="s">
        <v>16</v>
      </c>
      <c r="C115" s="11" t="s">
        <v>578</v>
      </c>
      <c r="D115" s="11" t="s">
        <v>571</v>
      </c>
      <c r="E115" s="11" t="s">
        <v>579</v>
      </c>
      <c r="F115" s="11" t="s">
        <v>576</v>
      </c>
      <c r="G115" s="31" t="s">
        <v>48</v>
      </c>
      <c r="H115" s="27" t="s">
        <v>577</v>
      </c>
      <c r="I115" s="31" t="s">
        <v>48</v>
      </c>
      <c r="J115" s="11"/>
      <c r="K115" s="11">
        <v>1</v>
      </c>
      <c r="L115" s="11" t="s">
        <v>48</v>
      </c>
      <c r="M115" s="11">
        <v>0</v>
      </c>
      <c r="N115" s="11">
        <v>0</v>
      </c>
      <c r="O115" s="11" t="s">
        <v>598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" customHeight="1">
      <c r="A116" s="11" t="s">
        <v>100</v>
      </c>
      <c r="B116" s="11" t="s">
        <v>16</v>
      </c>
      <c r="C116" s="11" t="s">
        <v>580</v>
      </c>
      <c r="D116" s="11" t="s">
        <v>571</v>
      </c>
      <c r="E116" s="11" t="s">
        <v>581</v>
      </c>
      <c r="F116" s="11" t="s">
        <v>572</v>
      </c>
      <c r="G116" s="31" t="s">
        <v>48</v>
      </c>
      <c r="H116" s="27" t="s">
        <v>582</v>
      </c>
      <c r="I116" s="31" t="s">
        <v>48</v>
      </c>
      <c r="J116" s="11"/>
      <c r="K116" s="11">
        <v>1</v>
      </c>
      <c r="L116" s="11" t="s">
        <v>48</v>
      </c>
      <c r="M116" s="11">
        <v>0</v>
      </c>
      <c r="N116" s="11">
        <v>0</v>
      </c>
      <c r="O116" s="11" t="s">
        <v>597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" customHeight="1">
      <c r="A117" s="11" t="s">
        <v>100</v>
      </c>
      <c r="B117" s="11" t="s">
        <v>16</v>
      </c>
      <c r="C117" s="11" t="s">
        <v>583</v>
      </c>
      <c r="D117" s="11" t="s">
        <v>571</v>
      </c>
      <c r="E117" s="11" t="s">
        <v>584</v>
      </c>
      <c r="F117" s="11" t="s">
        <v>572</v>
      </c>
      <c r="G117" s="31" t="s">
        <v>48</v>
      </c>
      <c r="H117" s="27" t="s">
        <v>582</v>
      </c>
      <c r="I117" s="31" t="s">
        <v>48</v>
      </c>
      <c r="J117" s="11"/>
      <c r="K117" s="11">
        <v>1</v>
      </c>
      <c r="L117" s="11" t="s">
        <v>48</v>
      </c>
      <c r="M117" s="11">
        <v>0</v>
      </c>
      <c r="N117" s="11">
        <v>0</v>
      </c>
      <c r="O117" s="11" t="s">
        <v>597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" customHeight="1">
      <c r="A118" s="11" t="s">
        <v>100</v>
      </c>
      <c r="B118" s="11" t="s">
        <v>16</v>
      </c>
      <c r="C118" s="11" t="s">
        <v>585</v>
      </c>
      <c r="D118" s="11" t="s">
        <v>571</v>
      </c>
      <c r="E118" s="11" t="s">
        <v>586</v>
      </c>
      <c r="F118" s="11" t="s">
        <v>587</v>
      </c>
      <c r="G118" s="31" t="s">
        <v>48</v>
      </c>
      <c r="H118" s="27" t="s">
        <v>588</v>
      </c>
      <c r="I118" s="31" t="s">
        <v>48</v>
      </c>
      <c r="J118" s="11"/>
      <c r="K118" s="11">
        <v>1</v>
      </c>
      <c r="L118" s="11" t="s">
        <v>48</v>
      </c>
      <c r="M118" s="11">
        <v>0</v>
      </c>
      <c r="N118" s="11">
        <v>0</v>
      </c>
      <c r="O118" s="11" t="s">
        <v>598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" customHeight="1">
      <c r="A119" s="11" t="s">
        <v>100</v>
      </c>
      <c r="B119" s="11" t="s">
        <v>16</v>
      </c>
      <c r="C119" s="11" t="s">
        <v>589</v>
      </c>
      <c r="D119" s="11" t="s">
        <v>571</v>
      </c>
      <c r="E119" s="11" t="s">
        <v>590</v>
      </c>
      <c r="F119" s="11" t="s">
        <v>576</v>
      </c>
      <c r="G119" s="31" t="s">
        <v>48</v>
      </c>
      <c r="H119" s="27" t="s">
        <v>591</v>
      </c>
      <c r="I119" s="31" t="s">
        <v>48</v>
      </c>
      <c r="J119" s="11"/>
      <c r="K119" s="11">
        <v>1</v>
      </c>
      <c r="L119" s="11" t="s">
        <v>48</v>
      </c>
      <c r="M119" s="11">
        <v>0</v>
      </c>
      <c r="N119" s="11">
        <v>0</v>
      </c>
      <c r="O119" s="11" t="s">
        <v>598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" customHeight="1">
      <c r="A120" s="11" t="s">
        <v>100</v>
      </c>
      <c r="B120" s="11" t="s">
        <v>101</v>
      </c>
      <c r="C120" s="11" t="s">
        <v>570</v>
      </c>
      <c r="D120" s="11" t="s">
        <v>571</v>
      </c>
      <c r="E120" s="11" t="s">
        <v>304</v>
      </c>
      <c r="F120" s="11" t="s">
        <v>572</v>
      </c>
      <c r="G120" s="31" t="s">
        <v>48</v>
      </c>
      <c r="H120" s="27" t="s">
        <v>496</v>
      </c>
      <c r="I120" s="31" t="s">
        <v>48</v>
      </c>
      <c r="J120" s="11"/>
      <c r="K120" s="11">
        <v>1</v>
      </c>
      <c r="L120" s="11" t="s">
        <v>48</v>
      </c>
      <c r="M120" s="11">
        <v>0</v>
      </c>
      <c r="N120" s="11">
        <v>0</v>
      </c>
      <c r="O120" s="11" t="s">
        <v>597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" customHeight="1">
      <c r="A121" s="11" t="s">
        <v>100</v>
      </c>
      <c r="B121" s="11" t="s">
        <v>101</v>
      </c>
      <c r="C121" s="11" t="s">
        <v>573</v>
      </c>
      <c r="D121" s="11" t="s">
        <v>571</v>
      </c>
      <c r="E121" s="11" t="s">
        <v>229</v>
      </c>
      <c r="F121" s="11" t="s">
        <v>572</v>
      </c>
      <c r="G121" s="31" t="s">
        <v>48</v>
      </c>
      <c r="H121" s="27" t="s">
        <v>496</v>
      </c>
      <c r="I121" s="31" t="s">
        <v>48</v>
      </c>
      <c r="J121" s="11"/>
      <c r="K121" s="11">
        <v>1</v>
      </c>
      <c r="L121" s="11" t="s">
        <v>48</v>
      </c>
      <c r="M121" s="11">
        <v>0</v>
      </c>
      <c r="N121" s="11">
        <v>0</v>
      </c>
      <c r="O121" s="11" t="s">
        <v>597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" customHeight="1">
      <c r="A122" s="11" t="s">
        <v>100</v>
      </c>
      <c r="B122" s="11" t="s">
        <v>101</v>
      </c>
      <c r="C122" s="11" t="s">
        <v>574</v>
      </c>
      <c r="D122" s="11" t="s">
        <v>571</v>
      </c>
      <c r="E122" s="11" t="s">
        <v>575</v>
      </c>
      <c r="F122" s="11" t="s">
        <v>576</v>
      </c>
      <c r="G122" s="31" t="s">
        <v>48</v>
      </c>
      <c r="H122" s="27" t="s">
        <v>577</v>
      </c>
      <c r="I122" s="31" t="s">
        <v>48</v>
      </c>
      <c r="J122" s="11"/>
      <c r="K122" s="11">
        <v>1</v>
      </c>
      <c r="L122" s="11" t="s">
        <v>48</v>
      </c>
      <c r="M122" s="11">
        <v>0</v>
      </c>
      <c r="N122" s="11">
        <v>0</v>
      </c>
      <c r="O122" s="11" t="s">
        <v>598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" customHeight="1">
      <c r="A123" s="11" t="s">
        <v>100</v>
      </c>
      <c r="B123" s="11" t="s">
        <v>101</v>
      </c>
      <c r="C123" s="11" t="s">
        <v>578</v>
      </c>
      <c r="D123" s="11" t="s">
        <v>571</v>
      </c>
      <c r="E123" s="11" t="s">
        <v>579</v>
      </c>
      <c r="F123" s="11" t="s">
        <v>576</v>
      </c>
      <c r="G123" s="31" t="s">
        <v>48</v>
      </c>
      <c r="H123" s="27" t="s">
        <v>577</v>
      </c>
      <c r="I123" s="31" t="s">
        <v>48</v>
      </c>
      <c r="J123" s="11"/>
      <c r="K123" s="11">
        <v>1</v>
      </c>
      <c r="L123" s="11" t="s">
        <v>48</v>
      </c>
      <c r="M123" s="11">
        <v>0</v>
      </c>
      <c r="N123" s="11">
        <v>0</v>
      </c>
      <c r="O123" s="11" t="s">
        <v>598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" customHeight="1">
      <c r="A124" s="11" t="s">
        <v>100</v>
      </c>
      <c r="B124" s="11" t="s">
        <v>101</v>
      </c>
      <c r="C124" s="11" t="s">
        <v>580</v>
      </c>
      <c r="D124" s="11" t="s">
        <v>571</v>
      </c>
      <c r="E124" s="11" t="s">
        <v>581</v>
      </c>
      <c r="F124" s="11" t="s">
        <v>572</v>
      </c>
      <c r="G124" s="31" t="s">
        <v>48</v>
      </c>
      <c r="H124" s="27" t="s">
        <v>582</v>
      </c>
      <c r="I124" s="31" t="s">
        <v>48</v>
      </c>
      <c r="J124" s="11"/>
      <c r="K124" s="11">
        <v>1</v>
      </c>
      <c r="L124" s="11" t="s">
        <v>48</v>
      </c>
      <c r="M124" s="11">
        <v>0</v>
      </c>
      <c r="N124" s="11">
        <v>0</v>
      </c>
      <c r="O124" s="11" t="s">
        <v>597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" customHeight="1">
      <c r="A125" s="11" t="s">
        <v>100</v>
      </c>
      <c r="B125" s="11" t="s">
        <v>101</v>
      </c>
      <c r="C125" s="11" t="s">
        <v>583</v>
      </c>
      <c r="D125" s="11" t="s">
        <v>571</v>
      </c>
      <c r="E125" s="11" t="s">
        <v>584</v>
      </c>
      <c r="F125" s="11" t="s">
        <v>572</v>
      </c>
      <c r="G125" s="31" t="s">
        <v>48</v>
      </c>
      <c r="H125" s="27" t="s">
        <v>582</v>
      </c>
      <c r="I125" s="31" t="s">
        <v>48</v>
      </c>
      <c r="J125" s="11"/>
      <c r="K125" s="11">
        <v>1</v>
      </c>
      <c r="L125" s="11" t="s">
        <v>48</v>
      </c>
      <c r="M125" s="11">
        <v>0</v>
      </c>
      <c r="N125" s="11">
        <v>0</v>
      </c>
      <c r="O125" s="11" t="s">
        <v>597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" customHeight="1">
      <c r="A126" s="11" t="s">
        <v>100</v>
      </c>
      <c r="B126" s="11" t="s">
        <v>101</v>
      </c>
      <c r="C126" s="11" t="s">
        <v>585</v>
      </c>
      <c r="D126" s="11" t="s">
        <v>571</v>
      </c>
      <c r="E126" s="11" t="s">
        <v>586</v>
      </c>
      <c r="F126" s="11" t="s">
        <v>587</v>
      </c>
      <c r="G126" s="31" t="s">
        <v>48</v>
      </c>
      <c r="H126" s="27" t="s">
        <v>588</v>
      </c>
      <c r="I126" s="31" t="s">
        <v>48</v>
      </c>
      <c r="J126" s="11"/>
      <c r="K126" s="11">
        <v>1</v>
      </c>
      <c r="L126" s="11" t="s">
        <v>48</v>
      </c>
      <c r="M126" s="11">
        <v>0</v>
      </c>
      <c r="N126" s="11">
        <v>0</v>
      </c>
      <c r="O126" s="11" t="s">
        <v>598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" customHeight="1">
      <c r="A127" s="11" t="s">
        <v>100</v>
      </c>
      <c r="B127" s="11" t="s">
        <v>101</v>
      </c>
      <c r="C127" s="11" t="s">
        <v>589</v>
      </c>
      <c r="D127" s="11" t="s">
        <v>571</v>
      </c>
      <c r="E127" s="11" t="s">
        <v>590</v>
      </c>
      <c r="F127" s="11" t="s">
        <v>576</v>
      </c>
      <c r="G127" s="31" t="s">
        <v>48</v>
      </c>
      <c r="H127" s="27" t="s">
        <v>591</v>
      </c>
      <c r="I127" s="31" t="s">
        <v>48</v>
      </c>
      <c r="J127" s="11"/>
      <c r="K127" s="11">
        <v>1</v>
      </c>
      <c r="L127" s="11" t="s">
        <v>48</v>
      </c>
      <c r="M127" s="11">
        <v>0</v>
      </c>
      <c r="N127" s="11">
        <v>0</v>
      </c>
      <c r="O127" s="11" t="s">
        <v>598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" customHeight="1">
      <c r="A128" s="11" t="s">
        <v>100</v>
      </c>
      <c r="B128" s="7" t="s">
        <v>120</v>
      </c>
      <c r="C128" s="11" t="s">
        <v>570</v>
      </c>
      <c r="D128" s="11" t="s">
        <v>571</v>
      </c>
      <c r="E128" s="11" t="s">
        <v>304</v>
      </c>
      <c r="F128" s="11" t="s">
        <v>572</v>
      </c>
      <c r="G128" s="31" t="s">
        <v>48</v>
      </c>
      <c r="H128" s="27" t="s">
        <v>496</v>
      </c>
      <c r="I128" s="31" t="s">
        <v>48</v>
      </c>
      <c r="J128" s="11"/>
      <c r="K128" s="11">
        <v>1</v>
      </c>
      <c r="L128" s="11" t="s">
        <v>48</v>
      </c>
      <c r="M128" s="11">
        <v>0</v>
      </c>
      <c r="N128" s="11">
        <v>0</v>
      </c>
      <c r="O128" s="11" t="s">
        <v>597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" customHeight="1">
      <c r="A129" s="11" t="s">
        <v>100</v>
      </c>
      <c r="B129" s="7" t="s">
        <v>120</v>
      </c>
      <c r="C129" s="11" t="s">
        <v>573</v>
      </c>
      <c r="D129" s="11" t="s">
        <v>571</v>
      </c>
      <c r="E129" s="11" t="s">
        <v>229</v>
      </c>
      <c r="F129" s="11" t="s">
        <v>572</v>
      </c>
      <c r="G129" s="31" t="s">
        <v>48</v>
      </c>
      <c r="H129" s="27" t="s">
        <v>496</v>
      </c>
      <c r="I129" s="31" t="s">
        <v>48</v>
      </c>
      <c r="J129" s="11"/>
      <c r="K129" s="11">
        <v>1</v>
      </c>
      <c r="L129" s="11" t="s">
        <v>48</v>
      </c>
      <c r="M129" s="11">
        <v>0</v>
      </c>
      <c r="N129" s="11">
        <v>0</v>
      </c>
      <c r="O129" s="11" t="s">
        <v>597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" customHeight="1">
      <c r="A130" s="11" t="s">
        <v>100</v>
      </c>
      <c r="B130" s="7" t="s">
        <v>120</v>
      </c>
      <c r="C130" s="11" t="s">
        <v>574</v>
      </c>
      <c r="D130" s="11" t="s">
        <v>571</v>
      </c>
      <c r="E130" s="11" t="s">
        <v>575</v>
      </c>
      <c r="F130" s="11" t="s">
        <v>576</v>
      </c>
      <c r="G130" s="31" t="s">
        <v>48</v>
      </c>
      <c r="H130" s="27" t="s">
        <v>577</v>
      </c>
      <c r="I130" s="31" t="s">
        <v>48</v>
      </c>
      <c r="J130" s="11"/>
      <c r="K130" s="11">
        <v>1</v>
      </c>
      <c r="L130" s="11" t="s">
        <v>48</v>
      </c>
      <c r="M130" s="11">
        <v>0</v>
      </c>
      <c r="N130" s="11">
        <v>0</v>
      </c>
      <c r="O130" s="11" t="s">
        <v>598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" customHeight="1">
      <c r="A131" s="11" t="s">
        <v>100</v>
      </c>
      <c r="B131" s="7" t="s">
        <v>120</v>
      </c>
      <c r="C131" s="11" t="s">
        <v>578</v>
      </c>
      <c r="D131" s="11" t="s">
        <v>571</v>
      </c>
      <c r="E131" s="11" t="s">
        <v>579</v>
      </c>
      <c r="F131" s="11" t="s">
        <v>576</v>
      </c>
      <c r="G131" s="31" t="s">
        <v>48</v>
      </c>
      <c r="H131" s="27" t="s">
        <v>577</v>
      </c>
      <c r="I131" s="31" t="s">
        <v>48</v>
      </c>
      <c r="J131" s="11"/>
      <c r="K131" s="11">
        <v>1</v>
      </c>
      <c r="L131" s="11" t="s">
        <v>48</v>
      </c>
      <c r="M131" s="11">
        <v>0</v>
      </c>
      <c r="N131" s="11">
        <v>0</v>
      </c>
      <c r="O131" s="11" t="s">
        <v>598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" customHeight="1">
      <c r="A132" s="11" t="s">
        <v>100</v>
      </c>
      <c r="B132" s="7" t="s">
        <v>120</v>
      </c>
      <c r="C132" s="11" t="s">
        <v>580</v>
      </c>
      <c r="D132" s="11" t="s">
        <v>571</v>
      </c>
      <c r="E132" s="11" t="s">
        <v>581</v>
      </c>
      <c r="F132" s="11" t="s">
        <v>572</v>
      </c>
      <c r="G132" s="31" t="s">
        <v>48</v>
      </c>
      <c r="H132" s="27" t="s">
        <v>582</v>
      </c>
      <c r="I132" s="31" t="s">
        <v>48</v>
      </c>
      <c r="J132" s="11"/>
      <c r="K132" s="11">
        <v>1</v>
      </c>
      <c r="L132" s="11" t="s">
        <v>48</v>
      </c>
      <c r="M132" s="11">
        <v>0</v>
      </c>
      <c r="N132" s="11">
        <v>0</v>
      </c>
      <c r="O132" s="11" t="s">
        <v>597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" customHeight="1">
      <c r="A133" s="11" t="s">
        <v>100</v>
      </c>
      <c r="B133" s="7" t="s">
        <v>120</v>
      </c>
      <c r="C133" s="11" t="s">
        <v>583</v>
      </c>
      <c r="D133" s="11" t="s">
        <v>571</v>
      </c>
      <c r="E133" s="11" t="s">
        <v>584</v>
      </c>
      <c r="F133" s="11" t="s">
        <v>572</v>
      </c>
      <c r="G133" s="31" t="s">
        <v>48</v>
      </c>
      <c r="H133" s="27" t="s">
        <v>582</v>
      </c>
      <c r="I133" s="31" t="s">
        <v>48</v>
      </c>
      <c r="J133" s="11"/>
      <c r="K133" s="11">
        <v>1</v>
      </c>
      <c r="L133" s="11" t="s">
        <v>48</v>
      </c>
      <c r="M133" s="11">
        <v>0</v>
      </c>
      <c r="N133" s="11">
        <v>0</v>
      </c>
      <c r="O133" s="11" t="s">
        <v>597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" customHeight="1">
      <c r="A134" s="11" t="s">
        <v>100</v>
      </c>
      <c r="B134" s="7" t="s">
        <v>120</v>
      </c>
      <c r="C134" s="11" t="s">
        <v>585</v>
      </c>
      <c r="D134" s="11" t="s">
        <v>571</v>
      </c>
      <c r="E134" s="11" t="s">
        <v>586</v>
      </c>
      <c r="F134" s="11" t="s">
        <v>587</v>
      </c>
      <c r="G134" s="31" t="s">
        <v>48</v>
      </c>
      <c r="H134" s="27" t="s">
        <v>588</v>
      </c>
      <c r="I134" s="31" t="s">
        <v>48</v>
      </c>
      <c r="J134" s="11"/>
      <c r="K134" s="11">
        <v>1</v>
      </c>
      <c r="L134" s="11" t="s">
        <v>48</v>
      </c>
      <c r="M134" s="11">
        <v>0</v>
      </c>
      <c r="N134" s="11">
        <v>0</v>
      </c>
      <c r="O134" s="11" t="s">
        <v>598</v>
      </c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" customHeight="1">
      <c r="A135" s="11" t="s">
        <v>100</v>
      </c>
      <c r="B135" s="7" t="s">
        <v>120</v>
      </c>
      <c r="C135" s="11" t="s">
        <v>589</v>
      </c>
      <c r="D135" s="11" t="s">
        <v>571</v>
      </c>
      <c r="E135" s="11" t="s">
        <v>590</v>
      </c>
      <c r="F135" s="11" t="s">
        <v>576</v>
      </c>
      <c r="G135" s="31" t="s">
        <v>48</v>
      </c>
      <c r="H135" s="27" t="s">
        <v>591</v>
      </c>
      <c r="I135" s="31" t="s">
        <v>48</v>
      </c>
      <c r="J135" s="11"/>
      <c r="K135" s="11">
        <v>1</v>
      </c>
      <c r="L135" s="11" t="s">
        <v>48</v>
      </c>
      <c r="M135" s="11">
        <v>0</v>
      </c>
      <c r="N135" s="11">
        <v>0</v>
      </c>
      <c r="O135" s="11" t="s">
        <v>598</v>
      </c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" customHeight="1">
      <c r="A136" s="11" t="s">
        <v>100</v>
      </c>
      <c r="B136" s="7" t="s">
        <v>120</v>
      </c>
      <c r="C136" s="11" t="s">
        <v>570</v>
      </c>
      <c r="D136" s="11" t="s">
        <v>571</v>
      </c>
      <c r="E136" s="11" t="s">
        <v>304</v>
      </c>
      <c r="F136" s="11" t="s">
        <v>572</v>
      </c>
      <c r="G136" s="31" t="s">
        <v>48</v>
      </c>
      <c r="H136" s="27" t="s">
        <v>496</v>
      </c>
      <c r="I136" s="31" t="s">
        <v>48</v>
      </c>
      <c r="J136" s="11"/>
      <c r="K136" s="11">
        <v>1</v>
      </c>
      <c r="L136" s="11" t="s">
        <v>48</v>
      </c>
      <c r="M136" s="11">
        <v>0</v>
      </c>
      <c r="N136" s="11">
        <v>0</v>
      </c>
      <c r="O136" s="11" t="s">
        <v>597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" customHeight="1">
      <c r="A137" s="11" t="s">
        <v>100</v>
      </c>
      <c r="B137" s="7" t="s">
        <v>120</v>
      </c>
      <c r="C137" s="11" t="s">
        <v>573</v>
      </c>
      <c r="D137" s="11" t="s">
        <v>571</v>
      </c>
      <c r="E137" s="11" t="s">
        <v>229</v>
      </c>
      <c r="F137" s="11" t="s">
        <v>572</v>
      </c>
      <c r="G137" s="31" t="s">
        <v>48</v>
      </c>
      <c r="H137" s="27" t="s">
        <v>496</v>
      </c>
      <c r="I137" s="31" t="s">
        <v>48</v>
      </c>
      <c r="J137" s="11"/>
      <c r="K137" s="11">
        <v>1</v>
      </c>
      <c r="L137" s="11" t="s">
        <v>48</v>
      </c>
      <c r="M137" s="11">
        <v>0</v>
      </c>
      <c r="N137" s="11">
        <v>0</v>
      </c>
      <c r="O137" s="11" t="s">
        <v>597</v>
      </c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" customHeight="1">
      <c r="A138" s="11" t="s">
        <v>100</v>
      </c>
      <c r="B138" s="7" t="s">
        <v>120</v>
      </c>
      <c r="C138" s="11" t="s">
        <v>574</v>
      </c>
      <c r="D138" s="11" t="s">
        <v>571</v>
      </c>
      <c r="E138" s="11" t="s">
        <v>575</v>
      </c>
      <c r="F138" s="11" t="s">
        <v>576</v>
      </c>
      <c r="G138" s="31" t="s">
        <v>48</v>
      </c>
      <c r="H138" s="27" t="s">
        <v>577</v>
      </c>
      <c r="I138" s="31" t="s">
        <v>48</v>
      </c>
      <c r="J138" s="11"/>
      <c r="K138" s="11">
        <v>1</v>
      </c>
      <c r="L138" s="11" t="s">
        <v>48</v>
      </c>
      <c r="M138" s="11">
        <v>0</v>
      </c>
      <c r="N138" s="11">
        <v>0</v>
      </c>
      <c r="O138" s="11" t="s">
        <v>598</v>
      </c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" customHeight="1">
      <c r="A139" s="11" t="s">
        <v>100</v>
      </c>
      <c r="B139" s="7" t="s">
        <v>120</v>
      </c>
      <c r="C139" s="11" t="s">
        <v>578</v>
      </c>
      <c r="D139" s="11" t="s">
        <v>571</v>
      </c>
      <c r="E139" s="11" t="s">
        <v>579</v>
      </c>
      <c r="F139" s="11" t="s">
        <v>576</v>
      </c>
      <c r="G139" s="31" t="s">
        <v>48</v>
      </c>
      <c r="H139" s="27" t="s">
        <v>577</v>
      </c>
      <c r="I139" s="31" t="s">
        <v>48</v>
      </c>
      <c r="J139" s="11"/>
      <c r="K139" s="11">
        <v>1</v>
      </c>
      <c r="L139" s="11" t="s">
        <v>48</v>
      </c>
      <c r="M139" s="11">
        <v>0</v>
      </c>
      <c r="N139" s="11">
        <v>0</v>
      </c>
      <c r="O139" s="11" t="s">
        <v>598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" customHeight="1">
      <c r="A140" s="11" t="s">
        <v>100</v>
      </c>
      <c r="B140" s="7" t="s">
        <v>120</v>
      </c>
      <c r="C140" s="11" t="s">
        <v>580</v>
      </c>
      <c r="D140" s="11" t="s">
        <v>571</v>
      </c>
      <c r="E140" s="11" t="s">
        <v>581</v>
      </c>
      <c r="F140" s="11" t="s">
        <v>572</v>
      </c>
      <c r="G140" s="31" t="s">
        <v>48</v>
      </c>
      <c r="H140" s="27" t="s">
        <v>582</v>
      </c>
      <c r="I140" s="31" t="s">
        <v>48</v>
      </c>
      <c r="J140" s="11"/>
      <c r="K140" s="11">
        <v>1</v>
      </c>
      <c r="L140" s="11" t="s">
        <v>48</v>
      </c>
      <c r="M140" s="11">
        <v>0</v>
      </c>
      <c r="N140" s="11">
        <v>0</v>
      </c>
      <c r="O140" s="11" t="s">
        <v>597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" customHeight="1">
      <c r="A141" s="11" t="s">
        <v>100</v>
      </c>
      <c r="B141" s="7" t="s">
        <v>120</v>
      </c>
      <c r="C141" s="11" t="s">
        <v>583</v>
      </c>
      <c r="D141" s="11" t="s">
        <v>571</v>
      </c>
      <c r="E141" s="11" t="s">
        <v>584</v>
      </c>
      <c r="F141" s="11" t="s">
        <v>572</v>
      </c>
      <c r="G141" s="31" t="s">
        <v>48</v>
      </c>
      <c r="H141" s="27" t="s">
        <v>582</v>
      </c>
      <c r="I141" s="31" t="s">
        <v>48</v>
      </c>
      <c r="J141" s="11"/>
      <c r="K141" s="11">
        <v>1</v>
      </c>
      <c r="L141" s="11" t="s">
        <v>48</v>
      </c>
      <c r="M141" s="11">
        <v>0</v>
      </c>
      <c r="N141" s="11">
        <v>0</v>
      </c>
      <c r="O141" s="11" t="s">
        <v>597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" customHeight="1">
      <c r="A142" s="11" t="s">
        <v>100</v>
      </c>
      <c r="B142" s="7" t="s">
        <v>120</v>
      </c>
      <c r="C142" s="11" t="s">
        <v>585</v>
      </c>
      <c r="D142" s="11" t="s">
        <v>571</v>
      </c>
      <c r="E142" s="11" t="s">
        <v>586</v>
      </c>
      <c r="F142" s="11" t="s">
        <v>587</v>
      </c>
      <c r="G142" s="31" t="s">
        <v>48</v>
      </c>
      <c r="H142" s="27" t="s">
        <v>588</v>
      </c>
      <c r="I142" s="31" t="s">
        <v>48</v>
      </c>
      <c r="J142" s="11"/>
      <c r="K142" s="11">
        <v>1</v>
      </c>
      <c r="L142" s="11" t="s">
        <v>48</v>
      </c>
      <c r="M142" s="11">
        <v>0</v>
      </c>
      <c r="N142" s="11">
        <v>0</v>
      </c>
      <c r="O142" s="11" t="s">
        <v>598</v>
      </c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" customHeight="1">
      <c r="A143" s="11" t="s">
        <v>100</v>
      </c>
      <c r="B143" s="7" t="s">
        <v>120</v>
      </c>
      <c r="C143" s="11" t="s">
        <v>589</v>
      </c>
      <c r="D143" s="11" t="s">
        <v>571</v>
      </c>
      <c r="E143" s="11" t="s">
        <v>590</v>
      </c>
      <c r="F143" s="11" t="s">
        <v>576</v>
      </c>
      <c r="G143" s="31" t="s">
        <v>48</v>
      </c>
      <c r="H143" s="27" t="s">
        <v>591</v>
      </c>
      <c r="I143" s="31" t="s">
        <v>48</v>
      </c>
      <c r="J143" s="11"/>
      <c r="K143" s="11">
        <v>1</v>
      </c>
      <c r="L143" s="11" t="s">
        <v>48</v>
      </c>
      <c r="M143" s="11">
        <v>0</v>
      </c>
      <c r="N143" s="11">
        <v>0</v>
      </c>
      <c r="O143" s="11" t="s">
        <v>598</v>
      </c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" customHeight="1">
      <c r="A144" s="11" t="s">
        <v>15</v>
      </c>
      <c r="B144" s="11" t="s">
        <v>16</v>
      </c>
      <c r="C144" s="11" t="s">
        <v>592</v>
      </c>
      <c r="D144" s="11" t="s">
        <v>571</v>
      </c>
      <c r="E144" s="11" t="s">
        <v>593</v>
      </c>
      <c r="F144" s="11" t="s">
        <v>576</v>
      </c>
      <c r="G144" s="31" t="s">
        <v>48</v>
      </c>
      <c r="H144" s="27" t="s">
        <v>594</v>
      </c>
      <c r="I144" s="31" t="s">
        <v>48</v>
      </c>
      <c r="J144" s="11"/>
      <c r="K144" s="11">
        <v>1</v>
      </c>
      <c r="L144" s="11" t="s">
        <v>48</v>
      </c>
      <c r="M144" s="11">
        <v>0</v>
      </c>
      <c r="N144" s="11">
        <v>0</v>
      </c>
      <c r="O144" s="11" t="s">
        <v>598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" customHeight="1">
      <c r="A145" s="11" t="s">
        <v>15</v>
      </c>
      <c r="B145" s="11" t="s">
        <v>16</v>
      </c>
      <c r="C145" s="11" t="s">
        <v>595</v>
      </c>
      <c r="D145" s="11" t="s">
        <v>571</v>
      </c>
      <c r="E145" s="11" t="s">
        <v>596</v>
      </c>
      <c r="F145" s="11" t="s">
        <v>576</v>
      </c>
      <c r="G145" s="31" t="s">
        <v>48</v>
      </c>
      <c r="H145" s="27" t="s">
        <v>594</v>
      </c>
      <c r="I145" s="31" t="s">
        <v>48</v>
      </c>
      <c r="J145" s="11"/>
      <c r="K145" s="11">
        <v>1</v>
      </c>
      <c r="L145" s="11" t="s">
        <v>48</v>
      </c>
      <c r="M145" s="11">
        <v>0</v>
      </c>
      <c r="N145" s="11">
        <v>0</v>
      </c>
      <c r="O145" s="11" t="s">
        <v>598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" customHeight="1">
      <c r="A146" s="11" t="s">
        <v>15</v>
      </c>
      <c r="B146" s="7" t="s">
        <v>120</v>
      </c>
      <c r="C146" s="11" t="s">
        <v>592</v>
      </c>
      <c r="D146" s="11" t="s">
        <v>571</v>
      </c>
      <c r="E146" s="11" t="s">
        <v>593</v>
      </c>
      <c r="F146" s="11" t="s">
        <v>576</v>
      </c>
      <c r="G146" s="31" t="s">
        <v>48</v>
      </c>
      <c r="H146" s="27" t="s">
        <v>594</v>
      </c>
      <c r="I146" s="31" t="s">
        <v>48</v>
      </c>
      <c r="J146" s="11"/>
      <c r="K146" s="11">
        <v>1</v>
      </c>
      <c r="L146" s="11" t="s">
        <v>48</v>
      </c>
      <c r="M146" s="11">
        <v>0</v>
      </c>
      <c r="N146" s="11">
        <v>0</v>
      </c>
      <c r="O146" s="11" t="s">
        <v>598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" customHeight="1">
      <c r="A147" s="11" t="s">
        <v>15</v>
      </c>
      <c r="B147" s="7" t="s">
        <v>120</v>
      </c>
      <c r="C147" s="11" t="s">
        <v>595</v>
      </c>
      <c r="D147" s="11" t="s">
        <v>571</v>
      </c>
      <c r="E147" s="11" t="s">
        <v>596</v>
      </c>
      <c r="F147" s="11" t="s">
        <v>576</v>
      </c>
      <c r="G147" s="31" t="s">
        <v>48</v>
      </c>
      <c r="H147" s="27" t="s">
        <v>594</v>
      </c>
      <c r="I147" s="31" t="s">
        <v>48</v>
      </c>
      <c r="J147" s="11"/>
      <c r="K147" s="11">
        <v>1</v>
      </c>
      <c r="L147" s="11" t="s">
        <v>48</v>
      </c>
      <c r="M147" s="11">
        <v>0</v>
      </c>
      <c r="N147" s="11">
        <v>0</v>
      </c>
      <c r="O147" s="11" t="s">
        <v>598</v>
      </c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6" ht="13" customHeight="1">
      <c r="A148" s="11" t="s">
        <v>439</v>
      </c>
      <c r="B148" s="11" t="s">
        <v>101</v>
      </c>
      <c r="C148" s="11" t="s">
        <v>440</v>
      </c>
      <c r="D148" s="11" t="s">
        <v>172</v>
      </c>
      <c r="E148" s="11" t="s">
        <v>441</v>
      </c>
      <c r="F148" s="11" t="s">
        <v>668</v>
      </c>
      <c r="G148" s="31" t="s">
        <v>21</v>
      </c>
      <c r="H148" s="27">
        <v>412</v>
      </c>
      <c r="I148" s="31" t="s">
        <v>21</v>
      </c>
      <c r="J148" s="11"/>
      <c r="K148" s="11">
        <v>6</v>
      </c>
      <c r="L148" s="11" t="s">
        <v>22</v>
      </c>
      <c r="M148" s="11">
        <v>0</v>
      </c>
      <c r="N148" s="11">
        <v>0</v>
      </c>
      <c r="O148" s="11" t="s">
        <v>676</v>
      </c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" customHeight="1">
      <c r="A149" s="11" t="s">
        <v>439</v>
      </c>
      <c r="B149" s="11" t="s">
        <v>101</v>
      </c>
      <c r="C149" s="11" t="s">
        <v>214</v>
      </c>
      <c r="D149" s="11" t="s">
        <v>442</v>
      </c>
      <c r="E149" s="11" t="s">
        <v>216</v>
      </c>
      <c r="F149" s="11" t="s">
        <v>539</v>
      </c>
      <c r="G149" s="31" t="s">
        <v>21</v>
      </c>
      <c r="H149" s="27">
        <v>384</v>
      </c>
      <c r="I149" s="31" t="s">
        <v>21</v>
      </c>
      <c r="J149" s="11"/>
      <c r="K149" s="11">
        <v>6</v>
      </c>
      <c r="L149" s="11" t="s">
        <v>22</v>
      </c>
      <c r="M149" s="11">
        <v>0</v>
      </c>
      <c r="N149" s="11">
        <v>0</v>
      </c>
      <c r="O149" s="11" t="s">
        <v>677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" customHeight="1">
      <c r="A150" s="11" t="s">
        <v>439</v>
      </c>
      <c r="B150" s="11" t="s">
        <v>101</v>
      </c>
      <c r="C150" s="11" t="s">
        <v>443</v>
      </c>
      <c r="D150" s="11" t="s">
        <v>25</v>
      </c>
      <c r="E150" s="11" t="s">
        <v>444</v>
      </c>
      <c r="F150" s="11" t="s">
        <v>123</v>
      </c>
      <c r="G150" s="31" t="s">
        <v>21</v>
      </c>
      <c r="H150" s="27" t="s">
        <v>445</v>
      </c>
      <c r="I150" s="31" t="s">
        <v>21</v>
      </c>
      <c r="J150" s="11"/>
      <c r="K150" s="11">
        <v>6</v>
      </c>
      <c r="L150" s="11" t="s">
        <v>22</v>
      </c>
      <c r="M150" s="11">
        <v>0</v>
      </c>
      <c r="N150" s="11">
        <v>0</v>
      </c>
      <c r="O150" s="11" t="s">
        <v>678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" customHeight="1">
      <c r="A151" s="11" t="s">
        <v>439</v>
      </c>
      <c r="B151" s="11" t="s">
        <v>101</v>
      </c>
      <c r="C151" s="11" t="s">
        <v>446</v>
      </c>
      <c r="D151" s="11" t="s">
        <v>447</v>
      </c>
      <c r="E151" s="11" t="s">
        <v>449</v>
      </c>
      <c r="F151" s="11" t="s">
        <v>448</v>
      </c>
      <c r="G151" s="31" t="s">
        <v>21</v>
      </c>
      <c r="H151" s="27" t="s">
        <v>450</v>
      </c>
      <c r="I151" s="31" t="s">
        <v>21</v>
      </c>
      <c r="J151" s="11"/>
      <c r="K151" s="11">
        <v>6</v>
      </c>
      <c r="L151" s="11" t="s">
        <v>22</v>
      </c>
      <c r="M151" s="11">
        <v>0</v>
      </c>
      <c r="N151" s="11">
        <v>0</v>
      </c>
      <c r="O151" s="11" t="s">
        <v>679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" customHeight="1">
      <c r="A152" s="11" t="s">
        <v>439</v>
      </c>
      <c r="B152" s="11" t="s">
        <v>101</v>
      </c>
      <c r="C152" s="11" t="s">
        <v>451</v>
      </c>
      <c r="D152" s="11" t="s">
        <v>452</v>
      </c>
      <c r="E152" s="11" t="s">
        <v>454</v>
      </c>
      <c r="F152" s="11" t="s">
        <v>453</v>
      </c>
      <c r="G152" s="31" t="s">
        <v>21</v>
      </c>
      <c r="H152" s="27" t="s">
        <v>455</v>
      </c>
      <c r="I152" s="31" t="s">
        <v>21</v>
      </c>
      <c r="J152" s="11"/>
      <c r="K152" s="11">
        <v>6</v>
      </c>
      <c r="L152" s="11" t="s">
        <v>22</v>
      </c>
      <c r="M152" s="11">
        <v>0</v>
      </c>
      <c r="N152" s="11">
        <v>0</v>
      </c>
      <c r="O152" s="11" t="s">
        <v>680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" customHeight="1">
      <c r="A153" s="11" t="s">
        <v>439</v>
      </c>
      <c r="B153" s="11" t="s">
        <v>101</v>
      </c>
      <c r="C153" s="11" t="s">
        <v>456</v>
      </c>
      <c r="D153" s="11" t="s">
        <v>156</v>
      </c>
      <c r="E153" s="11" t="s">
        <v>457</v>
      </c>
      <c r="F153" s="11" t="s">
        <v>130</v>
      </c>
      <c r="G153" s="31" t="s">
        <v>21</v>
      </c>
      <c r="H153" s="27" t="s">
        <v>458</v>
      </c>
      <c r="I153" s="31" t="s">
        <v>21</v>
      </c>
      <c r="J153" s="11"/>
      <c r="K153" s="11">
        <v>6</v>
      </c>
      <c r="L153" s="11" t="s">
        <v>22</v>
      </c>
      <c r="M153" s="11">
        <v>0</v>
      </c>
      <c r="N153" s="11">
        <v>0</v>
      </c>
      <c r="O153" s="11" t="s">
        <v>681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" customHeight="1">
      <c r="A154" s="11" t="s">
        <v>439</v>
      </c>
      <c r="B154" s="11" t="s">
        <v>101</v>
      </c>
      <c r="C154" s="11" t="s">
        <v>460</v>
      </c>
      <c r="D154" s="11" t="s">
        <v>461</v>
      </c>
      <c r="E154" s="11" t="s">
        <v>462</v>
      </c>
      <c r="F154" s="11" t="s">
        <v>130</v>
      </c>
      <c r="G154" s="31" t="s">
        <v>21</v>
      </c>
      <c r="H154" s="27" t="s">
        <v>463</v>
      </c>
      <c r="I154" s="31" t="s">
        <v>21</v>
      </c>
      <c r="J154" s="11"/>
      <c r="K154" s="11">
        <v>6</v>
      </c>
      <c r="L154" s="11" t="s">
        <v>22</v>
      </c>
      <c r="M154" s="11">
        <v>0</v>
      </c>
      <c r="N154" s="11">
        <v>0</v>
      </c>
      <c r="O154" s="11" t="s">
        <v>681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" customHeight="1">
      <c r="A155" s="11" t="s">
        <v>439</v>
      </c>
      <c r="B155" s="11" t="s">
        <v>101</v>
      </c>
      <c r="C155" s="11" t="s">
        <v>464</v>
      </c>
      <c r="D155" s="11" t="s">
        <v>465</v>
      </c>
      <c r="E155" s="11" t="s">
        <v>467</v>
      </c>
      <c r="F155" s="11" t="s">
        <v>466</v>
      </c>
      <c r="G155" s="31" t="s">
        <v>21</v>
      </c>
      <c r="H155" s="27" t="s">
        <v>468</v>
      </c>
      <c r="I155" s="31" t="s">
        <v>21</v>
      </c>
      <c r="J155" s="11"/>
      <c r="K155" s="11">
        <v>6</v>
      </c>
      <c r="L155" s="11" t="s">
        <v>22</v>
      </c>
      <c r="M155" s="11">
        <v>0</v>
      </c>
      <c r="N155" s="11">
        <v>0</v>
      </c>
      <c r="O155" s="11" t="s">
        <v>682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" customHeight="1">
      <c r="A156" s="11" t="s">
        <v>439</v>
      </c>
      <c r="B156" s="11" t="s">
        <v>101</v>
      </c>
      <c r="C156" s="11" t="s">
        <v>469</v>
      </c>
      <c r="D156" s="11" t="s">
        <v>470</v>
      </c>
      <c r="E156" s="11" t="s">
        <v>287</v>
      </c>
      <c r="F156" s="11" t="s">
        <v>490</v>
      </c>
      <c r="G156" s="31" t="s">
        <v>21</v>
      </c>
      <c r="H156" s="27">
        <v>992</v>
      </c>
      <c r="I156" s="31" t="s">
        <v>21</v>
      </c>
      <c r="J156" s="11"/>
      <c r="K156" s="11">
        <v>6</v>
      </c>
      <c r="L156" s="11" t="s">
        <v>22</v>
      </c>
      <c r="M156" s="11">
        <v>0</v>
      </c>
      <c r="N156" s="11">
        <v>0</v>
      </c>
      <c r="O156" s="11" t="s">
        <v>683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" customHeight="1">
      <c r="A157" s="11" t="s">
        <v>439</v>
      </c>
      <c r="B157" s="11" t="s">
        <v>101</v>
      </c>
      <c r="C157" s="11" t="s">
        <v>185</v>
      </c>
      <c r="D157" s="11" t="s">
        <v>152</v>
      </c>
      <c r="E157" s="11" t="s">
        <v>186</v>
      </c>
      <c r="F157" s="11" t="s">
        <v>472</v>
      </c>
      <c r="G157" s="31" t="s">
        <v>21</v>
      </c>
      <c r="H157" s="27" t="s">
        <v>473</v>
      </c>
      <c r="I157" s="31" t="s">
        <v>21</v>
      </c>
      <c r="J157" s="11"/>
      <c r="K157" s="11">
        <v>2</v>
      </c>
      <c r="L157" s="11" t="s">
        <v>22</v>
      </c>
      <c r="M157" s="11">
        <v>0</v>
      </c>
      <c r="N157" s="11">
        <v>0</v>
      </c>
      <c r="O157" s="11" t="s">
        <v>684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" customHeight="1">
      <c r="A158" s="11" t="s">
        <v>439</v>
      </c>
      <c r="B158" s="11" t="s">
        <v>101</v>
      </c>
      <c r="C158" s="11" t="s">
        <v>475</v>
      </c>
      <c r="D158" s="11" t="s">
        <v>62</v>
      </c>
      <c r="E158" s="11" t="s">
        <v>263</v>
      </c>
      <c r="F158" s="11" t="s">
        <v>289</v>
      </c>
      <c r="G158" s="31" t="s">
        <v>48</v>
      </c>
      <c r="H158" s="27">
        <v>153</v>
      </c>
      <c r="I158" s="31" t="s">
        <v>48</v>
      </c>
      <c r="J158" s="11"/>
      <c r="K158" s="11">
        <v>1</v>
      </c>
      <c r="L158" s="11" t="s">
        <v>48</v>
      </c>
      <c r="M158" s="11">
        <v>0</v>
      </c>
      <c r="N158" s="11">
        <v>0</v>
      </c>
      <c r="O158" s="11" t="s">
        <v>685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" customHeight="1">
      <c r="A159" s="11" t="s">
        <v>439</v>
      </c>
      <c r="B159" s="11" t="s">
        <v>101</v>
      </c>
      <c r="C159" s="11" t="s">
        <v>476</v>
      </c>
      <c r="D159" s="11" t="s">
        <v>477</v>
      </c>
      <c r="E159" s="11" t="s">
        <v>189</v>
      </c>
      <c r="F159" s="11" t="s">
        <v>190</v>
      </c>
      <c r="G159" s="31" t="s">
        <v>48</v>
      </c>
      <c r="H159" s="27">
        <v>196</v>
      </c>
      <c r="I159" s="31" t="s">
        <v>48</v>
      </c>
      <c r="J159" s="11"/>
      <c r="K159" s="11">
        <v>1</v>
      </c>
      <c r="L159" s="11" t="s">
        <v>48</v>
      </c>
      <c r="M159" s="11">
        <v>0</v>
      </c>
      <c r="N159" s="11">
        <v>0</v>
      </c>
      <c r="O159" s="11" t="s">
        <v>686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" customHeight="1">
      <c r="A160" s="11" t="s">
        <v>439</v>
      </c>
      <c r="B160" s="11" t="s">
        <v>101</v>
      </c>
      <c r="C160" s="11" t="s">
        <v>478</v>
      </c>
      <c r="D160" s="11" t="s">
        <v>62</v>
      </c>
      <c r="E160" s="11" t="s">
        <v>193</v>
      </c>
      <c r="F160" s="11" t="s">
        <v>194</v>
      </c>
      <c r="G160" s="31" t="s">
        <v>48</v>
      </c>
      <c r="H160" s="27">
        <v>313</v>
      </c>
      <c r="I160" s="31" t="s">
        <v>48</v>
      </c>
      <c r="J160" s="11"/>
      <c r="K160" s="11">
        <v>1</v>
      </c>
      <c r="L160" s="11" t="s">
        <v>48</v>
      </c>
      <c r="M160" s="11">
        <v>0</v>
      </c>
      <c r="N160" s="11">
        <v>0</v>
      </c>
      <c r="O160" s="11" t="s">
        <v>687</v>
      </c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" customHeight="1">
      <c r="A161" s="11" t="s">
        <v>439</v>
      </c>
      <c r="B161" s="11" t="s">
        <v>101</v>
      </c>
      <c r="C161" s="11" t="s">
        <v>195</v>
      </c>
      <c r="D161" s="11" t="s">
        <v>479</v>
      </c>
      <c r="E161" s="11" t="s">
        <v>480</v>
      </c>
      <c r="F161" s="11" t="s">
        <v>200</v>
      </c>
      <c r="G161" s="31" t="s">
        <v>48</v>
      </c>
      <c r="H161" s="27">
        <v>116</v>
      </c>
      <c r="I161" s="31" t="s">
        <v>48</v>
      </c>
      <c r="J161" s="11"/>
      <c r="K161" s="11">
        <v>1</v>
      </c>
      <c r="L161" s="11" t="s">
        <v>48</v>
      </c>
      <c r="M161" s="11">
        <v>0</v>
      </c>
      <c r="N161" s="11">
        <v>0</v>
      </c>
      <c r="O161" s="11" t="s">
        <v>688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" customHeight="1">
      <c r="A162" s="11" t="s">
        <v>439</v>
      </c>
      <c r="B162" s="11" t="s">
        <v>101</v>
      </c>
      <c r="C162" s="11" t="s">
        <v>198</v>
      </c>
      <c r="D162" s="11" t="s">
        <v>52</v>
      </c>
      <c r="E162" s="11" t="s">
        <v>481</v>
      </c>
      <c r="F162" s="11" t="s">
        <v>200</v>
      </c>
      <c r="G162" s="31" t="s">
        <v>48</v>
      </c>
      <c r="H162" s="27">
        <v>102</v>
      </c>
      <c r="I162" s="31" t="s">
        <v>48</v>
      </c>
      <c r="J162" s="11"/>
      <c r="K162" s="11">
        <v>1</v>
      </c>
      <c r="L162" s="11" t="s">
        <v>48</v>
      </c>
      <c r="M162" s="11">
        <v>0</v>
      </c>
      <c r="N162" s="11">
        <v>0</v>
      </c>
      <c r="O162" s="11" t="s">
        <v>688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" customHeight="1">
      <c r="A163" s="11" t="s">
        <v>439</v>
      </c>
      <c r="B163" s="11" t="s">
        <v>101</v>
      </c>
      <c r="C163" s="11" t="s">
        <v>482</v>
      </c>
      <c r="D163" s="11" t="s">
        <v>483</v>
      </c>
      <c r="E163" s="11" t="s">
        <v>197</v>
      </c>
      <c r="F163" s="11" t="s">
        <v>689</v>
      </c>
      <c r="G163" s="31" t="s">
        <v>48</v>
      </c>
      <c r="H163" s="27">
        <v>184</v>
      </c>
      <c r="I163" s="31" t="s">
        <v>48</v>
      </c>
      <c r="J163" s="11"/>
      <c r="K163" s="11">
        <v>1</v>
      </c>
      <c r="L163" s="11" t="s">
        <v>48</v>
      </c>
      <c r="M163" s="11">
        <v>0</v>
      </c>
      <c r="N163" s="11">
        <v>0</v>
      </c>
      <c r="O163" s="11" t="s">
        <v>221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" customHeight="1">
      <c r="A164" s="11" t="s">
        <v>439</v>
      </c>
      <c r="B164" s="11" t="s">
        <v>101</v>
      </c>
      <c r="C164" s="11" t="s">
        <v>484</v>
      </c>
      <c r="D164" s="11" t="s">
        <v>62</v>
      </c>
      <c r="E164" s="11" t="s">
        <v>199</v>
      </c>
      <c r="F164" s="11" t="s">
        <v>687</v>
      </c>
      <c r="G164" s="31" t="s">
        <v>48</v>
      </c>
      <c r="H164" s="27">
        <v>581</v>
      </c>
      <c r="I164" s="31" t="s">
        <v>48</v>
      </c>
      <c r="J164" s="11"/>
      <c r="K164" s="11">
        <v>1</v>
      </c>
      <c r="L164" s="11" t="s">
        <v>48</v>
      </c>
      <c r="M164" s="11">
        <v>0</v>
      </c>
      <c r="N164" s="11">
        <v>0</v>
      </c>
      <c r="O164" s="11" t="s">
        <v>295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" customHeight="1">
      <c r="A165" s="11" t="s">
        <v>439</v>
      </c>
      <c r="B165" s="11" t="s">
        <v>101</v>
      </c>
      <c r="C165" s="11" t="s">
        <v>568</v>
      </c>
      <c r="D165" s="11" t="s">
        <v>485</v>
      </c>
      <c r="E165" s="11" t="s">
        <v>486</v>
      </c>
      <c r="F165" s="11" t="s">
        <v>684</v>
      </c>
      <c r="G165" s="31" t="s">
        <v>21</v>
      </c>
      <c r="H165" s="27">
        <v>367</v>
      </c>
      <c r="I165" s="31" t="s">
        <v>21</v>
      </c>
      <c r="J165" s="11"/>
      <c r="K165" s="11">
        <v>13</v>
      </c>
      <c r="L165" s="11" t="s">
        <v>87</v>
      </c>
      <c r="M165" s="11">
        <v>0</v>
      </c>
      <c r="N165" s="11">
        <v>0</v>
      </c>
      <c r="O165" s="11" t="s">
        <v>474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" customHeight="1">
      <c r="A166" s="11" t="s">
        <v>439</v>
      </c>
      <c r="B166" s="11" t="s">
        <v>101</v>
      </c>
      <c r="C166" s="11" t="s">
        <v>487</v>
      </c>
      <c r="D166" s="11" t="s">
        <v>488</v>
      </c>
      <c r="E166" s="11" t="s">
        <v>224</v>
      </c>
      <c r="F166" s="11" t="s">
        <v>681</v>
      </c>
      <c r="G166" s="31" t="s">
        <v>21</v>
      </c>
      <c r="H166" s="27">
        <v>217</v>
      </c>
      <c r="I166" s="31" t="s">
        <v>21</v>
      </c>
      <c r="J166" s="11"/>
      <c r="K166" s="11">
        <v>50</v>
      </c>
      <c r="L166" s="11" t="s">
        <v>87</v>
      </c>
      <c r="M166" s="11">
        <v>0</v>
      </c>
      <c r="N166" s="11">
        <v>0</v>
      </c>
      <c r="O166" s="11" t="s">
        <v>459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" customHeight="1">
      <c r="A167" s="11" t="s">
        <v>439</v>
      </c>
      <c r="B167" s="11" t="s">
        <v>101</v>
      </c>
      <c r="C167" s="11" t="s">
        <v>489</v>
      </c>
      <c r="D167" s="11" t="s">
        <v>93</v>
      </c>
      <c r="E167" s="11" t="s">
        <v>203</v>
      </c>
      <c r="F167" s="11" t="s">
        <v>690</v>
      </c>
      <c r="G167" s="31" t="s">
        <v>21</v>
      </c>
      <c r="H167" s="27">
        <v>200</v>
      </c>
      <c r="I167" s="31" t="s">
        <v>21</v>
      </c>
      <c r="J167" s="11"/>
      <c r="K167" s="11">
        <v>28</v>
      </c>
      <c r="L167" s="11" t="s">
        <v>87</v>
      </c>
      <c r="M167" s="19">
        <v>0</v>
      </c>
      <c r="N167" s="11">
        <v>0</v>
      </c>
      <c r="O167" s="11" t="s">
        <v>471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" customHeight="1">
      <c r="A168" s="11" t="s">
        <v>439</v>
      </c>
      <c r="B168" s="11" t="s">
        <v>101</v>
      </c>
      <c r="C168" s="11" t="s">
        <v>88</v>
      </c>
      <c r="D168" s="11" t="s">
        <v>300</v>
      </c>
      <c r="E168" s="11" t="s">
        <v>90</v>
      </c>
      <c r="F168" s="11" t="s">
        <v>678</v>
      </c>
      <c r="G168" s="31" t="s">
        <v>21</v>
      </c>
      <c r="H168" s="27">
        <v>150</v>
      </c>
      <c r="I168" s="31" t="s">
        <v>21</v>
      </c>
      <c r="J168" s="11"/>
      <c r="K168" s="11">
        <v>30</v>
      </c>
      <c r="L168" s="11" t="s">
        <v>87</v>
      </c>
      <c r="M168" s="11">
        <v>0</v>
      </c>
      <c r="N168" s="11">
        <v>0</v>
      </c>
      <c r="O168" s="11" t="s">
        <v>28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" customHeight="1">
      <c r="A169" s="11" t="s">
        <v>439</v>
      </c>
      <c r="B169" s="11" t="s">
        <v>101</v>
      </c>
      <c r="C169" s="11" t="s">
        <v>491</v>
      </c>
      <c r="D169" s="11" t="s">
        <v>97</v>
      </c>
      <c r="E169" s="11" t="s">
        <v>98</v>
      </c>
      <c r="F169" s="11" t="s">
        <v>690</v>
      </c>
      <c r="G169" s="31" t="s">
        <v>21</v>
      </c>
      <c r="H169" s="27">
        <v>184</v>
      </c>
      <c r="I169" s="31" t="s">
        <v>21</v>
      </c>
      <c r="J169" s="11"/>
      <c r="K169" s="11">
        <v>25</v>
      </c>
      <c r="L169" s="11" t="s">
        <v>87</v>
      </c>
      <c r="M169" s="11">
        <v>0</v>
      </c>
      <c r="N169" s="11">
        <v>0</v>
      </c>
      <c r="O169" s="11" t="s">
        <v>493</v>
      </c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" customHeight="1">
      <c r="A170" s="11" t="s">
        <v>439</v>
      </c>
      <c r="B170" s="11" t="s">
        <v>101</v>
      </c>
      <c r="C170" s="11" t="s">
        <v>494</v>
      </c>
      <c r="D170" s="11" t="s">
        <v>495</v>
      </c>
      <c r="E170" s="11" t="s">
        <v>304</v>
      </c>
      <c r="F170" s="11" t="s">
        <v>691</v>
      </c>
      <c r="G170" s="31" t="s">
        <v>48</v>
      </c>
      <c r="H170" s="27" t="s">
        <v>496</v>
      </c>
      <c r="I170" s="31" t="s">
        <v>48</v>
      </c>
      <c r="J170" s="11"/>
      <c r="K170" s="11">
        <v>1</v>
      </c>
      <c r="L170" s="11" t="s">
        <v>48</v>
      </c>
      <c r="M170" s="11">
        <v>0</v>
      </c>
      <c r="N170" s="11">
        <v>0</v>
      </c>
      <c r="O170" s="11" t="s">
        <v>497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" customHeight="1">
      <c r="A171" s="11" t="s">
        <v>439</v>
      </c>
      <c r="B171" s="11" t="s">
        <v>101</v>
      </c>
      <c r="C171" s="11" t="s">
        <v>501</v>
      </c>
      <c r="D171" s="11" t="s">
        <v>236</v>
      </c>
      <c r="E171" s="11" t="s">
        <v>111</v>
      </c>
      <c r="F171" s="11" t="s">
        <v>692</v>
      </c>
      <c r="G171" s="31" t="s">
        <v>48</v>
      </c>
      <c r="H171" s="27" t="s">
        <v>502</v>
      </c>
      <c r="I171" s="31" t="s">
        <v>48</v>
      </c>
      <c r="J171" s="11"/>
      <c r="K171" s="11">
        <v>1</v>
      </c>
      <c r="L171" s="11" t="s">
        <v>48</v>
      </c>
      <c r="M171" s="11">
        <v>0</v>
      </c>
      <c r="N171" s="11">
        <v>0</v>
      </c>
      <c r="O171" s="11" t="s">
        <v>234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" customHeight="1">
      <c r="A172" s="11" t="s">
        <v>439</v>
      </c>
      <c r="B172" s="11" t="s">
        <v>101</v>
      </c>
      <c r="C172" s="11" t="s">
        <v>503</v>
      </c>
      <c r="D172" s="11" t="s">
        <v>504</v>
      </c>
      <c r="E172" s="11" t="s">
        <v>269</v>
      </c>
      <c r="F172" s="11" t="s">
        <v>692</v>
      </c>
      <c r="G172" s="31" t="s">
        <v>48</v>
      </c>
      <c r="H172" s="27" t="s">
        <v>505</v>
      </c>
      <c r="I172" s="31" t="s">
        <v>48</v>
      </c>
      <c r="J172" s="11"/>
      <c r="K172" s="11">
        <v>1</v>
      </c>
      <c r="L172" s="11" t="s">
        <v>48</v>
      </c>
      <c r="M172" s="11">
        <v>0</v>
      </c>
      <c r="N172" s="11">
        <v>0</v>
      </c>
      <c r="O172" s="11" t="s">
        <v>234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" customHeight="1">
      <c r="A173" s="11" t="s">
        <v>439</v>
      </c>
      <c r="B173" s="11" t="s">
        <v>101</v>
      </c>
      <c r="C173" s="11" t="s">
        <v>506</v>
      </c>
      <c r="D173" s="11" t="s">
        <v>507</v>
      </c>
      <c r="E173" s="11" t="s">
        <v>118</v>
      </c>
      <c r="F173" s="11" t="s">
        <v>692</v>
      </c>
      <c r="G173" s="31" t="s">
        <v>119</v>
      </c>
      <c r="H173" s="27" t="s">
        <v>508</v>
      </c>
      <c r="I173" s="31" t="s">
        <v>119</v>
      </c>
      <c r="J173" s="11"/>
      <c r="K173" s="11">
        <v>1</v>
      </c>
      <c r="L173" s="11" t="s">
        <v>119</v>
      </c>
      <c r="M173" s="11">
        <v>0</v>
      </c>
      <c r="N173" s="11">
        <v>0</v>
      </c>
      <c r="O173" s="11" t="s">
        <v>234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" customHeight="1">
      <c r="A174" s="11" t="s">
        <v>439</v>
      </c>
      <c r="B174" s="11" t="s">
        <v>101</v>
      </c>
      <c r="C174" s="11" t="s">
        <v>509</v>
      </c>
      <c r="D174" s="11" t="s">
        <v>510</v>
      </c>
      <c r="E174" s="11" t="s">
        <v>247</v>
      </c>
      <c r="F174" s="11" t="s">
        <v>692</v>
      </c>
      <c r="G174" s="31" t="s">
        <v>119</v>
      </c>
      <c r="H174" s="27" t="s">
        <v>511</v>
      </c>
      <c r="I174" s="31" t="s">
        <v>119</v>
      </c>
      <c r="J174" s="11"/>
      <c r="K174" s="11">
        <v>1</v>
      </c>
      <c r="L174" s="11" t="s">
        <v>119</v>
      </c>
      <c r="M174" s="11">
        <v>0</v>
      </c>
      <c r="N174" s="11">
        <v>0</v>
      </c>
      <c r="O174" s="11" t="s">
        <v>234</v>
      </c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" customHeight="1">
      <c r="A175" s="11" t="s">
        <v>439</v>
      </c>
      <c r="B175" s="11" t="s">
        <v>101</v>
      </c>
      <c r="C175" s="11" t="s">
        <v>512</v>
      </c>
      <c r="D175" s="11" t="s">
        <v>106</v>
      </c>
      <c r="E175" s="11" t="s">
        <v>313</v>
      </c>
      <c r="F175" s="11" t="s">
        <v>693</v>
      </c>
      <c r="G175" s="31" t="s">
        <v>48</v>
      </c>
      <c r="H175" s="27" t="s">
        <v>513</v>
      </c>
      <c r="I175" s="31" t="s">
        <v>48</v>
      </c>
      <c r="J175" s="11"/>
      <c r="K175" s="11">
        <v>1</v>
      </c>
      <c r="L175" s="11" t="s">
        <v>48</v>
      </c>
      <c r="M175" s="11">
        <v>0</v>
      </c>
      <c r="N175" s="11">
        <v>0</v>
      </c>
      <c r="O175" s="11" t="s">
        <v>276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" customHeight="1">
      <c r="A176" s="11" t="s">
        <v>439</v>
      </c>
      <c r="B176" s="11" t="s">
        <v>101</v>
      </c>
      <c r="C176" s="11" t="s">
        <v>514</v>
      </c>
      <c r="D176" s="11" t="s">
        <v>168</v>
      </c>
      <c r="E176" s="11" t="s">
        <v>515</v>
      </c>
      <c r="F176" s="11" t="s">
        <v>694</v>
      </c>
      <c r="G176" s="31" t="s">
        <v>119</v>
      </c>
      <c r="H176" s="27" t="s">
        <v>516</v>
      </c>
      <c r="I176" s="31" t="s">
        <v>119</v>
      </c>
      <c r="J176" s="11"/>
      <c r="K176" s="11">
        <v>1</v>
      </c>
      <c r="L176" s="11" t="s">
        <v>119</v>
      </c>
      <c r="M176" s="11">
        <v>0</v>
      </c>
      <c r="N176" s="11">
        <v>0</v>
      </c>
      <c r="O176" s="11" t="s">
        <v>318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" customHeight="1">
      <c r="A177" s="11" t="s">
        <v>439</v>
      </c>
      <c r="B177" s="11" t="s">
        <v>101</v>
      </c>
      <c r="C177" s="11" t="s">
        <v>517</v>
      </c>
      <c r="D177" s="11" t="s">
        <v>518</v>
      </c>
      <c r="E177" s="11" t="s">
        <v>519</v>
      </c>
      <c r="F177" s="11" t="s">
        <v>695</v>
      </c>
      <c r="G177" s="31" t="s">
        <v>499</v>
      </c>
      <c r="H177" s="27">
        <v>230</v>
      </c>
      <c r="I177" s="31" t="s">
        <v>119</v>
      </c>
      <c r="J177" s="11"/>
      <c r="K177" s="11">
        <v>1</v>
      </c>
      <c r="L177" s="11" t="s">
        <v>119</v>
      </c>
      <c r="M177" s="11">
        <v>0</v>
      </c>
      <c r="N177" s="11">
        <v>0</v>
      </c>
      <c r="O177" s="11" t="s">
        <v>49</v>
      </c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" customHeight="1">
      <c r="A178" s="11" t="s">
        <v>439</v>
      </c>
      <c r="B178" s="11" t="s">
        <v>16</v>
      </c>
      <c r="C178" s="11" t="s">
        <v>520</v>
      </c>
      <c r="D178" s="11" t="s">
        <v>521</v>
      </c>
      <c r="E178" s="11" t="s">
        <v>523</v>
      </c>
      <c r="F178" s="11" t="s">
        <v>680</v>
      </c>
      <c r="G178" s="31" t="s">
        <v>21</v>
      </c>
      <c r="H178" s="27" t="s">
        <v>524</v>
      </c>
      <c r="I178" s="31" t="s">
        <v>21</v>
      </c>
      <c r="J178" s="11"/>
      <c r="K178" s="11">
        <v>6</v>
      </c>
      <c r="L178" s="11" t="s">
        <v>22</v>
      </c>
      <c r="M178" s="11">
        <v>0</v>
      </c>
      <c r="N178" s="11">
        <v>0</v>
      </c>
      <c r="O178" s="11" t="s">
        <v>522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" customHeight="1">
      <c r="A179" s="11" t="s">
        <v>439</v>
      </c>
      <c r="B179" s="11" t="s">
        <v>16</v>
      </c>
      <c r="C179" s="11" t="s">
        <v>151</v>
      </c>
      <c r="D179" s="11" t="s">
        <v>525</v>
      </c>
      <c r="E179" s="11" t="s">
        <v>153</v>
      </c>
      <c r="F179" s="11" t="s">
        <v>684</v>
      </c>
      <c r="G179" s="31" t="s">
        <v>21</v>
      </c>
      <c r="H179" s="27" t="s">
        <v>526</v>
      </c>
      <c r="I179" s="31" t="s">
        <v>21</v>
      </c>
      <c r="J179" s="11"/>
      <c r="K179" s="11">
        <v>6</v>
      </c>
      <c r="L179" s="11" t="s">
        <v>22</v>
      </c>
      <c r="M179" s="19">
        <v>0</v>
      </c>
      <c r="N179" s="11">
        <v>0</v>
      </c>
      <c r="O179" s="11" t="s">
        <v>472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" customHeight="1">
      <c r="A180" s="11" t="s">
        <v>439</v>
      </c>
      <c r="B180" s="23" t="s">
        <v>16</v>
      </c>
      <c r="C180" s="11" t="s">
        <v>527</v>
      </c>
      <c r="D180" s="11" t="s">
        <v>528</v>
      </c>
      <c r="E180" s="11" t="s">
        <v>157</v>
      </c>
      <c r="F180" s="11" t="s">
        <v>681</v>
      </c>
      <c r="G180" s="31" t="s">
        <v>21</v>
      </c>
      <c r="H180" s="27" t="s">
        <v>530</v>
      </c>
      <c r="I180" s="31" t="s">
        <v>21</v>
      </c>
      <c r="J180" s="11"/>
      <c r="K180" s="11">
        <v>6</v>
      </c>
      <c r="L180" s="11" t="s">
        <v>22</v>
      </c>
      <c r="M180" s="11">
        <v>0</v>
      </c>
      <c r="N180" s="11">
        <v>0</v>
      </c>
      <c r="O180" s="11" t="s">
        <v>529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" customHeight="1">
      <c r="A181" s="11" t="s">
        <v>439</v>
      </c>
      <c r="B181" s="23" t="s">
        <v>16</v>
      </c>
      <c r="C181" s="11" t="s">
        <v>531</v>
      </c>
      <c r="D181" s="11" t="s">
        <v>461</v>
      </c>
      <c r="E181" s="11" t="s">
        <v>160</v>
      </c>
      <c r="F181" s="11" t="s">
        <v>681</v>
      </c>
      <c r="G181" s="31" t="s">
        <v>21</v>
      </c>
      <c r="H181" s="27" t="s">
        <v>532</v>
      </c>
      <c r="I181" s="31" t="s">
        <v>21</v>
      </c>
      <c r="J181" s="11"/>
      <c r="K181" s="11">
        <v>6</v>
      </c>
      <c r="L181" s="11" t="s">
        <v>22</v>
      </c>
      <c r="M181" s="11">
        <v>0</v>
      </c>
      <c r="N181" s="11">
        <v>0</v>
      </c>
      <c r="O181" s="11" t="s">
        <v>529</v>
      </c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" customHeight="1">
      <c r="A182" s="11" t="s">
        <v>439</v>
      </c>
      <c r="B182" s="23" t="s">
        <v>16</v>
      </c>
      <c r="C182" s="11" t="s">
        <v>24</v>
      </c>
      <c r="D182" s="11" t="s">
        <v>533</v>
      </c>
      <c r="E182" s="11" t="s">
        <v>26</v>
      </c>
      <c r="F182" s="11" t="s">
        <v>678</v>
      </c>
      <c r="G182" s="31" t="s">
        <v>21</v>
      </c>
      <c r="H182" s="27" t="s">
        <v>535</v>
      </c>
      <c r="I182" s="31" t="s">
        <v>21</v>
      </c>
      <c r="J182" s="11"/>
      <c r="K182" s="11">
        <v>6</v>
      </c>
      <c r="L182" s="11" t="s">
        <v>22</v>
      </c>
      <c r="M182" s="11">
        <v>0</v>
      </c>
      <c r="N182" s="11">
        <v>0</v>
      </c>
      <c r="O182" s="11" t="s">
        <v>534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" customHeight="1">
      <c r="A183" s="11" t="s">
        <v>439</v>
      </c>
      <c r="B183" s="23" t="s">
        <v>16</v>
      </c>
      <c r="C183" s="11" t="s">
        <v>29</v>
      </c>
      <c r="D183" s="11" t="s">
        <v>447</v>
      </c>
      <c r="E183" s="11" t="s">
        <v>31</v>
      </c>
      <c r="F183" s="11" t="s">
        <v>679</v>
      </c>
      <c r="G183" s="31" t="s">
        <v>21</v>
      </c>
      <c r="H183" s="27" t="s">
        <v>537</v>
      </c>
      <c r="I183" s="31" t="s">
        <v>21</v>
      </c>
      <c r="J183" s="11"/>
      <c r="K183" s="11">
        <v>6</v>
      </c>
      <c r="L183" s="11" t="s">
        <v>22</v>
      </c>
      <c r="M183" s="11">
        <v>0</v>
      </c>
      <c r="N183" s="11">
        <v>0</v>
      </c>
      <c r="O183" s="11" t="s">
        <v>536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" customHeight="1">
      <c r="A184" s="11" t="s">
        <v>439</v>
      </c>
      <c r="B184" s="23" t="s">
        <v>16</v>
      </c>
      <c r="C184" s="11" t="s">
        <v>39</v>
      </c>
      <c r="D184" s="11" t="s">
        <v>470</v>
      </c>
      <c r="E184" s="11" t="s">
        <v>41</v>
      </c>
      <c r="F184" s="11" t="s">
        <v>690</v>
      </c>
      <c r="G184" s="31" t="s">
        <v>21</v>
      </c>
      <c r="H184" s="27">
        <v>810</v>
      </c>
      <c r="I184" s="31" t="s">
        <v>21</v>
      </c>
      <c r="J184" s="11"/>
      <c r="K184" s="11">
        <v>6</v>
      </c>
      <c r="L184" s="11" t="s">
        <v>22</v>
      </c>
      <c r="M184" s="11">
        <v>0</v>
      </c>
      <c r="N184" s="11">
        <v>0</v>
      </c>
      <c r="O184" s="11" t="s">
        <v>492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" customHeight="1">
      <c r="A185" s="11" t="s">
        <v>439</v>
      </c>
      <c r="B185" s="23" t="s">
        <v>16</v>
      </c>
      <c r="C185" s="11" t="s">
        <v>214</v>
      </c>
      <c r="D185" s="11" t="s">
        <v>538</v>
      </c>
      <c r="E185" s="11" t="s">
        <v>216</v>
      </c>
      <c r="F185" s="11" t="s">
        <v>677</v>
      </c>
      <c r="G185" s="31" t="s">
        <v>21</v>
      </c>
      <c r="H185" s="27">
        <v>384</v>
      </c>
      <c r="I185" s="31" t="s">
        <v>21</v>
      </c>
      <c r="J185" s="11"/>
      <c r="K185" s="11">
        <v>6</v>
      </c>
      <c r="L185" s="11" t="s">
        <v>22</v>
      </c>
      <c r="M185" s="11">
        <v>0</v>
      </c>
      <c r="N185" s="11">
        <v>0</v>
      </c>
      <c r="O185" s="11" t="s">
        <v>539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" customHeight="1">
      <c r="A186" s="11" t="s">
        <v>439</v>
      </c>
      <c r="B186" s="23" t="s">
        <v>16</v>
      </c>
      <c r="C186" s="11" t="s">
        <v>540</v>
      </c>
      <c r="D186" s="11" t="s">
        <v>52</v>
      </c>
      <c r="E186" s="11" t="s">
        <v>53</v>
      </c>
      <c r="F186" s="11" t="s">
        <v>696</v>
      </c>
      <c r="G186" s="31" t="s">
        <v>48</v>
      </c>
      <c r="H186" s="27">
        <v>161</v>
      </c>
      <c r="I186" s="31" t="s">
        <v>48</v>
      </c>
      <c r="J186" s="11"/>
      <c r="K186" s="11">
        <v>1</v>
      </c>
      <c r="L186" s="11" t="s">
        <v>48</v>
      </c>
      <c r="M186" s="11">
        <v>0</v>
      </c>
      <c r="N186" s="11">
        <v>0</v>
      </c>
      <c r="O186" s="11" t="s">
        <v>541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" customHeight="1">
      <c r="A187" s="11" t="s">
        <v>439</v>
      </c>
      <c r="B187" s="23" t="s">
        <v>16</v>
      </c>
      <c r="C187" s="11" t="s">
        <v>335</v>
      </c>
      <c r="D187" s="11" t="s">
        <v>542</v>
      </c>
      <c r="E187" s="11" t="s">
        <v>336</v>
      </c>
      <c r="F187" s="11">
        <v>4</v>
      </c>
      <c r="G187" s="31" t="s">
        <v>48</v>
      </c>
      <c r="H187" s="27">
        <v>742</v>
      </c>
      <c r="I187" s="31" t="s">
        <v>48</v>
      </c>
      <c r="J187" s="11"/>
      <c r="K187" s="11">
        <v>1</v>
      </c>
      <c r="L187" s="11" t="s">
        <v>48</v>
      </c>
      <c r="M187" s="11">
        <v>0</v>
      </c>
      <c r="N187" s="11">
        <v>0</v>
      </c>
      <c r="O187" s="11" t="s">
        <v>549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" customHeight="1">
      <c r="A188" s="11" t="s">
        <v>439</v>
      </c>
      <c r="B188" s="23" t="s">
        <v>16</v>
      </c>
      <c r="C188" s="11" t="s">
        <v>337</v>
      </c>
      <c r="D188" s="11" t="s">
        <v>544</v>
      </c>
      <c r="E188" s="11" t="s">
        <v>338</v>
      </c>
      <c r="F188" s="11" t="s">
        <v>697</v>
      </c>
      <c r="G188" s="31" t="s">
        <v>48</v>
      </c>
      <c r="H188" s="27">
        <v>945</v>
      </c>
      <c r="I188" s="31" t="s">
        <v>48</v>
      </c>
      <c r="J188" s="11"/>
      <c r="K188" s="11">
        <v>1</v>
      </c>
      <c r="L188" s="11" t="s">
        <v>48</v>
      </c>
      <c r="M188" s="11">
        <v>0</v>
      </c>
      <c r="N188" s="11">
        <v>0</v>
      </c>
      <c r="O188" s="11" t="s">
        <v>545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" customHeight="1">
      <c r="A189" s="11" t="s">
        <v>439</v>
      </c>
      <c r="B189" s="23" t="s">
        <v>16</v>
      </c>
      <c r="C189" s="11" t="s">
        <v>339</v>
      </c>
      <c r="D189" s="11" t="s">
        <v>546</v>
      </c>
      <c r="E189" s="11" t="s">
        <v>63</v>
      </c>
      <c r="F189" s="11" t="s">
        <v>698</v>
      </c>
      <c r="G189" s="31" t="s">
        <v>48</v>
      </c>
      <c r="H189" s="27">
        <v>959</v>
      </c>
      <c r="I189" s="31" t="s">
        <v>48</v>
      </c>
      <c r="J189" s="11"/>
      <c r="K189" s="11">
        <v>1</v>
      </c>
      <c r="L189" s="11" t="s">
        <v>48</v>
      </c>
      <c r="M189" s="11">
        <v>0</v>
      </c>
      <c r="N189" s="11">
        <v>0</v>
      </c>
      <c r="O189" s="11" t="s">
        <v>340</v>
      </c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" customHeight="1">
      <c r="A190" s="11" t="s">
        <v>439</v>
      </c>
      <c r="B190" s="23" t="s">
        <v>16</v>
      </c>
      <c r="C190" s="11" t="s">
        <v>547</v>
      </c>
      <c r="D190" s="11" t="s">
        <v>548</v>
      </c>
      <c r="E190" s="11" t="s">
        <v>80</v>
      </c>
      <c r="F190" s="11">
        <v>4</v>
      </c>
      <c r="G190" s="31" t="s">
        <v>48</v>
      </c>
      <c r="H190" s="27">
        <v>184</v>
      </c>
      <c r="I190" s="31" t="s">
        <v>48</v>
      </c>
      <c r="J190" s="11"/>
      <c r="K190" s="11">
        <v>1</v>
      </c>
      <c r="L190" s="11" t="s">
        <v>48</v>
      </c>
      <c r="M190" s="11">
        <v>0</v>
      </c>
      <c r="N190" s="11">
        <v>0</v>
      </c>
      <c r="O190" s="11" t="s">
        <v>549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" customHeight="1">
      <c r="A191" s="11" t="s">
        <v>439</v>
      </c>
      <c r="B191" s="23" t="s">
        <v>16</v>
      </c>
      <c r="C191" s="11" t="s">
        <v>487</v>
      </c>
      <c r="D191" s="11" t="s">
        <v>550</v>
      </c>
      <c r="E191" s="11" t="s">
        <v>224</v>
      </c>
      <c r="F191" s="11" t="s">
        <v>681</v>
      </c>
      <c r="G191" s="31" t="s">
        <v>21</v>
      </c>
      <c r="H191" s="27">
        <v>217</v>
      </c>
      <c r="I191" s="31" t="s">
        <v>21</v>
      </c>
      <c r="J191" s="11"/>
      <c r="K191" s="11">
        <v>50</v>
      </c>
      <c r="L191" s="11" t="s">
        <v>87</v>
      </c>
      <c r="M191" s="11">
        <v>0</v>
      </c>
      <c r="N191" s="11">
        <v>0</v>
      </c>
      <c r="O191" s="11" t="s">
        <v>551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" customHeight="1">
      <c r="A192" s="11" t="s">
        <v>439</v>
      </c>
      <c r="B192" s="23" t="s">
        <v>16</v>
      </c>
      <c r="C192" s="11" t="s">
        <v>552</v>
      </c>
      <c r="D192" s="11" t="s">
        <v>93</v>
      </c>
      <c r="E192" s="11" t="s">
        <v>94</v>
      </c>
      <c r="F192" s="11" t="s">
        <v>690</v>
      </c>
      <c r="G192" s="31" t="s">
        <v>21</v>
      </c>
      <c r="H192" s="27">
        <v>184</v>
      </c>
      <c r="I192" s="31" t="s">
        <v>21</v>
      </c>
      <c r="J192" s="11"/>
      <c r="K192" s="11">
        <v>28</v>
      </c>
      <c r="L192" s="11" t="s">
        <v>87</v>
      </c>
      <c r="M192" s="11">
        <v>0</v>
      </c>
      <c r="N192" s="11">
        <v>0</v>
      </c>
      <c r="O192" s="11" t="s">
        <v>492</v>
      </c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" customHeight="1">
      <c r="A193" s="11" t="s">
        <v>439</v>
      </c>
      <c r="B193" s="23" t="s">
        <v>16</v>
      </c>
      <c r="C193" s="11" t="s">
        <v>553</v>
      </c>
      <c r="D193" s="11" t="s">
        <v>554</v>
      </c>
      <c r="E193" s="11" t="s">
        <v>98</v>
      </c>
      <c r="F193" s="11" t="s">
        <v>690</v>
      </c>
      <c r="G193" s="31" t="s">
        <v>21</v>
      </c>
      <c r="H193" s="27">
        <v>184</v>
      </c>
      <c r="I193" s="31" t="s">
        <v>21</v>
      </c>
      <c r="J193" s="11"/>
      <c r="K193" s="11">
        <v>25</v>
      </c>
      <c r="L193" s="11" t="s">
        <v>87</v>
      </c>
      <c r="M193" s="11">
        <v>0</v>
      </c>
      <c r="N193" s="11">
        <v>0</v>
      </c>
      <c r="O193" s="11" t="s">
        <v>492</v>
      </c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" customHeight="1">
      <c r="A194" s="11" t="s">
        <v>439</v>
      </c>
      <c r="B194" s="23" t="s">
        <v>16</v>
      </c>
      <c r="C194" s="11" t="s">
        <v>555</v>
      </c>
      <c r="D194" s="11" t="s">
        <v>495</v>
      </c>
      <c r="E194" s="11" t="s">
        <v>557</v>
      </c>
      <c r="F194" s="11" t="s">
        <v>691</v>
      </c>
      <c r="G194" s="31" t="s">
        <v>48</v>
      </c>
      <c r="H194" s="27" t="s">
        <v>496</v>
      </c>
      <c r="I194" s="31" t="s">
        <v>48</v>
      </c>
      <c r="J194" s="11"/>
      <c r="K194" s="11">
        <v>1</v>
      </c>
      <c r="L194" s="11" t="s">
        <v>48</v>
      </c>
      <c r="M194" s="11">
        <v>0</v>
      </c>
      <c r="N194" s="11">
        <v>0</v>
      </c>
      <c r="O194" s="11" t="s">
        <v>556</v>
      </c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" customHeight="1">
      <c r="A195" s="11" t="s">
        <v>439</v>
      </c>
      <c r="B195" s="23" t="s">
        <v>16</v>
      </c>
      <c r="C195" s="11" t="s">
        <v>559</v>
      </c>
      <c r="D195" s="11" t="s">
        <v>236</v>
      </c>
      <c r="E195" s="11" t="s">
        <v>237</v>
      </c>
      <c r="F195" s="11" t="s">
        <v>695</v>
      </c>
      <c r="G195" s="31" t="s">
        <v>48</v>
      </c>
      <c r="H195" s="27" t="s">
        <v>502</v>
      </c>
      <c r="I195" s="31" t="s">
        <v>48</v>
      </c>
      <c r="J195" s="11"/>
      <c r="K195" s="11">
        <v>1</v>
      </c>
      <c r="L195" s="11" t="s">
        <v>48</v>
      </c>
      <c r="M195" s="11">
        <v>0</v>
      </c>
      <c r="N195" s="11">
        <v>0</v>
      </c>
      <c r="O195" s="11" t="s">
        <v>558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" customHeight="1">
      <c r="A196" s="11" t="s">
        <v>439</v>
      </c>
      <c r="B196" s="23" t="s">
        <v>16</v>
      </c>
      <c r="C196" s="11" t="s">
        <v>560</v>
      </c>
      <c r="D196" s="11" t="s">
        <v>561</v>
      </c>
      <c r="E196" s="11" t="s">
        <v>241</v>
      </c>
      <c r="F196" s="11" t="s">
        <v>695</v>
      </c>
      <c r="G196" s="31" t="s">
        <v>48</v>
      </c>
      <c r="H196" s="27" t="s">
        <v>562</v>
      </c>
      <c r="I196" s="31" t="s">
        <v>48</v>
      </c>
      <c r="J196" s="11"/>
      <c r="K196" s="11">
        <v>1</v>
      </c>
      <c r="L196" s="11" t="s">
        <v>48</v>
      </c>
      <c r="M196" s="11">
        <v>0</v>
      </c>
      <c r="N196" s="11">
        <v>0</v>
      </c>
      <c r="O196" s="11" t="s">
        <v>558</v>
      </c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" customHeight="1">
      <c r="A197" s="11" t="s">
        <v>439</v>
      </c>
      <c r="B197" s="23" t="s">
        <v>16</v>
      </c>
      <c r="C197" s="11" t="s">
        <v>569</v>
      </c>
      <c r="D197" s="11" t="s">
        <v>563</v>
      </c>
      <c r="E197" s="11" t="s">
        <v>244</v>
      </c>
      <c r="F197" s="11" t="s">
        <v>695</v>
      </c>
      <c r="G197" s="31" t="s">
        <v>48</v>
      </c>
      <c r="H197" s="27" t="s">
        <v>564</v>
      </c>
      <c r="I197" s="31" t="s">
        <v>48</v>
      </c>
      <c r="J197" s="11"/>
      <c r="K197" s="11">
        <v>1</v>
      </c>
      <c r="L197" s="11" t="s">
        <v>48</v>
      </c>
      <c r="M197" s="11">
        <v>0</v>
      </c>
      <c r="N197" s="11">
        <v>0</v>
      </c>
      <c r="O197" s="11" t="s">
        <v>558</v>
      </c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" customHeight="1">
      <c r="A198" s="11" t="s">
        <v>439</v>
      </c>
      <c r="B198" s="23" t="s">
        <v>16</v>
      </c>
      <c r="C198" s="11" t="s">
        <v>565</v>
      </c>
      <c r="D198" s="11" t="s">
        <v>566</v>
      </c>
      <c r="E198" s="11" t="s">
        <v>567</v>
      </c>
      <c r="F198" s="11" t="s">
        <v>695</v>
      </c>
      <c r="G198" s="31" t="s">
        <v>119</v>
      </c>
      <c r="H198" s="27" t="s">
        <v>511</v>
      </c>
      <c r="I198" s="31" t="s">
        <v>119</v>
      </c>
      <c r="J198" s="11"/>
      <c r="K198" s="11">
        <v>1</v>
      </c>
      <c r="L198" s="11" t="s">
        <v>119</v>
      </c>
      <c r="M198" s="11">
        <v>0</v>
      </c>
      <c r="N198" s="11">
        <v>0</v>
      </c>
      <c r="O198" s="11" t="s">
        <v>558</v>
      </c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" customHeight="1">
      <c r="A199" s="11" t="s">
        <v>439</v>
      </c>
      <c r="B199" s="23" t="s">
        <v>16</v>
      </c>
      <c r="C199" s="11" t="s">
        <v>570</v>
      </c>
      <c r="D199" s="11" t="s">
        <v>571</v>
      </c>
      <c r="E199" s="11" t="s">
        <v>304</v>
      </c>
      <c r="F199" s="11" t="s">
        <v>691</v>
      </c>
      <c r="G199" s="31" t="s">
        <v>48</v>
      </c>
      <c r="H199" s="27" t="s">
        <v>496</v>
      </c>
      <c r="I199" s="31" t="s">
        <v>48</v>
      </c>
      <c r="J199" s="11"/>
      <c r="K199" s="11">
        <v>1</v>
      </c>
      <c r="L199" s="11" t="s">
        <v>48</v>
      </c>
      <c r="M199" s="11">
        <v>0</v>
      </c>
      <c r="N199" s="11">
        <v>0</v>
      </c>
      <c r="O199" s="11" t="s">
        <v>597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" customHeight="1">
      <c r="A200" s="11" t="s">
        <v>439</v>
      </c>
      <c r="B200" s="23" t="s">
        <v>16</v>
      </c>
      <c r="C200" s="11" t="s">
        <v>573</v>
      </c>
      <c r="D200" s="11" t="s">
        <v>571</v>
      </c>
      <c r="E200" s="11" t="s">
        <v>229</v>
      </c>
      <c r="F200" s="11" t="s">
        <v>691</v>
      </c>
      <c r="G200" s="31" t="s">
        <v>48</v>
      </c>
      <c r="H200" s="27" t="s">
        <v>496</v>
      </c>
      <c r="I200" s="31" t="s">
        <v>48</v>
      </c>
      <c r="J200" s="11"/>
      <c r="K200" s="11">
        <v>1</v>
      </c>
      <c r="L200" s="11" t="s">
        <v>48</v>
      </c>
      <c r="M200" s="11">
        <v>0</v>
      </c>
      <c r="N200" s="11">
        <v>0</v>
      </c>
      <c r="O200" s="11" t="s">
        <v>597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" customHeight="1">
      <c r="A201" s="11" t="s">
        <v>439</v>
      </c>
      <c r="B201" s="23" t="s">
        <v>16</v>
      </c>
      <c r="C201" s="11" t="s">
        <v>574</v>
      </c>
      <c r="D201" s="11" t="s">
        <v>571</v>
      </c>
      <c r="E201" s="11" t="s">
        <v>575</v>
      </c>
      <c r="F201" s="11" t="s">
        <v>699</v>
      </c>
      <c r="G201" s="31" t="s">
        <v>48</v>
      </c>
      <c r="H201" s="27" t="s">
        <v>577</v>
      </c>
      <c r="I201" s="31" t="s">
        <v>48</v>
      </c>
      <c r="J201" s="11"/>
      <c r="K201" s="11">
        <v>1</v>
      </c>
      <c r="L201" s="11" t="s">
        <v>48</v>
      </c>
      <c r="M201" s="11">
        <v>0</v>
      </c>
      <c r="N201" s="11">
        <v>0</v>
      </c>
      <c r="O201" s="11" t="s">
        <v>598</v>
      </c>
      <c r="Q201" s="11"/>
      <c r="R201" s="11"/>
      <c r="S201" s="11"/>
      <c r="T201" s="11"/>
      <c r="U201" s="11"/>
      <c r="V201" s="19" t="s">
        <v>700</v>
      </c>
      <c r="W201" s="11"/>
      <c r="X201" s="11"/>
      <c r="Y201" s="11"/>
      <c r="Z201" s="11"/>
    </row>
    <row r="202" spans="1:26" ht="13" customHeight="1">
      <c r="A202" s="11" t="s">
        <v>439</v>
      </c>
      <c r="B202" s="23" t="s">
        <v>16</v>
      </c>
      <c r="C202" s="11" t="s">
        <v>578</v>
      </c>
      <c r="D202" s="11" t="s">
        <v>571</v>
      </c>
      <c r="E202" s="11" t="s">
        <v>579</v>
      </c>
      <c r="F202" s="11" t="s">
        <v>699</v>
      </c>
      <c r="G202" s="31" t="s">
        <v>48</v>
      </c>
      <c r="H202" s="27" t="s">
        <v>577</v>
      </c>
      <c r="I202" s="31" t="s">
        <v>48</v>
      </c>
      <c r="J202" s="11"/>
      <c r="K202" s="11">
        <v>1</v>
      </c>
      <c r="L202" s="11" t="s">
        <v>48</v>
      </c>
      <c r="M202" s="11">
        <v>0</v>
      </c>
      <c r="N202" s="11">
        <v>0</v>
      </c>
      <c r="O202" s="11" t="s">
        <v>598</v>
      </c>
      <c r="Q202" s="11"/>
      <c r="R202" s="11"/>
      <c r="S202" s="11"/>
      <c r="T202" s="11"/>
      <c r="U202" s="11"/>
      <c r="V202" s="11" t="s">
        <v>699</v>
      </c>
      <c r="W202" s="11"/>
      <c r="X202" s="11"/>
      <c r="Y202" s="11"/>
      <c r="Z202" s="11"/>
    </row>
    <row r="203" spans="1:26" ht="13" customHeight="1">
      <c r="A203" s="11" t="s">
        <v>439</v>
      </c>
      <c r="B203" s="11" t="s">
        <v>16</v>
      </c>
      <c r="C203" s="11" t="s">
        <v>580</v>
      </c>
      <c r="D203" s="11" t="s">
        <v>571</v>
      </c>
      <c r="E203" s="11" t="s">
        <v>581</v>
      </c>
      <c r="F203" s="11" t="s">
        <v>691</v>
      </c>
      <c r="G203" s="31" t="s">
        <v>48</v>
      </c>
      <c r="H203" s="27" t="s">
        <v>582</v>
      </c>
      <c r="I203" s="31" t="s">
        <v>48</v>
      </c>
      <c r="J203" s="11"/>
      <c r="K203" s="11">
        <v>1</v>
      </c>
      <c r="L203" s="11" t="s">
        <v>48</v>
      </c>
      <c r="M203" s="11">
        <v>0</v>
      </c>
      <c r="N203" s="11">
        <v>0</v>
      </c>
      <c r="O203" s="11" t="s">
        <v>597</v>
      </c>
      <c r="Q203" s="11"/>
      <c r="R203" s="11"/>
      <c r="S203" s="11"/>
      <c r="T203" s="11"/>
      <c r="U203" s="11"/>
      <c r="V203" s="11" t="s">
        <v>691</v>
      </c>
      <c r="W203" s="11"/>
      <c r="X203" s="11"/>
      <c r="Y203" s="11"/>
      <c r="Z203" s="11"/>
    </row>
    <row r="204" spans="1:26" ht="13" customHeight="1">
      <c r="A204" s="11" t="s">
        <v>439</v>
      </c>
      <c r="B204" s="11" t="s">
        <v>16</v>
      </c>
      <c r="C204" s="11" t="s">
        <v>583</v>
      </c>
      <c r="D204" s="11" t="s">
        <v>571</v>
      </c>
      <c r="E204" s="11" t="s">
        <v>584</v>
      </c>
      <c r="F204" s="11" t="s">
        <v>691</v>
      </c>
      <c r="G204" s="31" t="s">
        <v>48</v>
      </c>
      <c r="H204" s="27" t="s">
        <v>582</v>
      </c>
      <c r="I204" s="31" t="s">
        <v>48</v>
      </c>
      <c r="J204" s="11"/>
      <c r="K204" s="11">
        <v>1</v>
      </c>
      <c r="L204" s="11" t="s">
        <v>48</v>
      </c>
      <c r="M204" s="11">
        <v>0</v>
      </c>
      <c r="N204" s="11">
        <v>0</v>
      </c>
      <c r="O204" s="11" t="s">
        <v>597</v>
      </c>
      <c r="Q204" s="11"/>
      <c r="R204" s="11"/>
      <c r="S204" s="11"/>
      <c r="T204" s="11"/>
      <c r="U204" s="11"/>
      <c r="V204" s="11" t="s">
        <v>691</v>
      </c>
      <c r="W204" s="11"/>
      <c r="X204" s="11"/>
      <c r="Y204" s="11"/>
      <c r="Z204" s="11"/>
    </row>
    <row r="205" spans="1:26" ht="13" customHeight="1">
      <c r="A205" s="11" t="s">
        <v>439</v>
      </c>
      <c r="B205" s="11" t="s">
        <v>16</v>
      </c>
      <c r="C205" s="11" t="s">
        <v>585</v>
      </c>
      <c r="D205" s="11" t="s">
        <v>571</v>
      </c>
      <c r="E205" s="11" t="s">
        <v>586</v>
      </c>
      <c r="F205" s="11" t="s">
        <v>699</v>
      </c>
      <c r="G205" s="31" t="s">
        <v>48</v>
      </c>
      <c r="H205" s="27" t="s">
        <v>588</v>
      </c>
      <c r="I205" s="31" t="s">
        <v>48</v>
      </c>
      <c r="J205" s="11"/>
      <c r="K205" s="11">
        <v>1</v>
      </c>
      <c r="L205" s="11" t="s">
        <v>48</v>
      </c>
      <c r="M205" s="11">
        <v>0</v>
      </c>
      <c r="N205" s="11">
        <v>0</v>
      </c>
      <c r="O205" s="11" t="s">
        <v>598</v>
      </c>
      <c r="Q205" s="11"/>
      <c r="R205" s="11"/>
      <c r="S205" s="11"/>
      <c r="T205" s="11"/>
      <c r="U205" s="11"/>
      <c r="V205" s="11" t="s">
        <v>699</v>
      </c>
      <c r="W205" s="11"/>
      <c r="X205" s="11"/>
      <c r="Y205" s="11"/>
      <c r="Z205" s="11"/>
    </row>
    <row r="206" spans="1:26" ht="13" customHeight="1">
      <c r="A206" s="11" t="s">
        <v>439</v>
      </c>
      <c r="B206" s="11" t="s">
        <v>16</v>
      </c>
      <c r="C206" s="11" t="s">
        <v>589</v>
      </c>
      <c r="D206" s="11" t="s">
        <v>571</v>
      </c>
      <c r="E206" s="11" t="s">
        <v>590</v>
      </c>
      <c r="F206" s="11" t="s">
        <v>699</v>
      </c>
      <c r="G206" s="31" t="s">
        <v>48</v>
      </c>
      <c r="H206" s="27" t="s">
        <v>591</v>
      </c>
      <c r="I206" s="31" t="s">
        <v>48</v>
      </c>
      <c r="J206" s="11"/>
      <c r="K206" s="11">
        <v>1</v>
      </c>
      <c r="L206" s="11" t="s">
        <v>48</v>
      </c>
      <c r="M206" s="11">
        <v>0</v>
      </c>
      <c r="N206" s="11">
        <v>0</v>
      </c>
      <c r="O206" s="11" t="s">
        <v>598</v>
      </c>
      <c r="Q206" s="11"/>
      <c r="R206" s="11"/>
      <c r="S206" s="11"/>
      <c r="T206" s="11"/>
      <c r="U206" s="11"/>
      <c r="V206" s="11" t="s">
        <v>699</v>
      </c>
      <c r="W206" s="11"/>
      <c r="X206" s="11"/>
      <c r="Y206" s="11"/>
      <c r="Z206" s="11"/>
    </row>
    <row r="207" spans="1:26" ht="13" customHeight="1">
      <c r="A207" s="11" t="s">
        <v>439</v>
      </c>
      <c r="B207" s="11" t="s">
        <v>101</v>
      </c>
      <c r="C207" s="11" t="s">
        <v>570</v>
      </c>
      <c r="D207" s="11" t="s">
        <v>571</v>
      </c>
      <c r="E207" s="11" t="s">
        <v>304</v>
      </c>
      <c r="F207" s="11" t="s">
        <v>691</v>
      </c>
      <c r="G207" s="31" t="s">
        <v>48</v>
      </c>
      <c r="H207" s="27" t="s">
        <v>496</v>
      </c>
      <c r="I207" s="31" t="s">
        <v>48</v>
      </c>
      <c r="J207" s="11"/>
      <c r="K207" s="11">
        <v>1</v>
      </c>
      <c r="L207" s="11" t="s">
        <v>48</v>
      </c>
      <c r="M207" s="11">
        <v>0</v>
      </c>
      <c r="N207" s="11">
        <v>0</v>
      </c>
      <c r="O207" s="11" t="s">
        <v>597</v>
      </c>
      <c r="Q207" s="11"/>
      <c r="R207" s="11"/>
      <c r="S207" s="11"/>
      <c r="T207" s="11"/>
      <c r="U207" s="11"/>
      <c r="V207" s="11" t="s">
        <v>691</v>
      </c>
      <c r="W207" s="11"/>
      <c r="X207" s="11"/>
      <c r="Y207" s="11"/>
      <c r="Z207" s="11"/>
    </row>
    <row r="208" spans="1:26" ht="13" customHeight="1">
      <c r="A208" s="11" t="s">
        <v>439</v>
      </c>
      <c r="B208" s="11" t="s">
        <v>101</v>
      </c>
      <c r="C208" s="11" t="s">
        <v>573</v>
      </c>
      <c r="D208" s="11" t="s">
        <v>571</v>
      </c>
      <c r="E208" s="11" t="s">
        <v>229</v>
      </c>
      <c r="F208" s="11" t="s">
        <v>691</v>
      </c>
      <c r="G208" s="31" t="s">
        <v>48</v>
      </c>
      <c r="H208" s="27" t="s">
        <v>496</v>
      </c>
      <c r="I208" s="31" t="s">
        <v>48</v>
      </c>
      <c r="J208" s="11"/>
      <c r="K208" s="11">
        <v>1</v>
      </c>
      <c r="L208" s="11" t="s">
        <v>48</v>
      </c>
      <c r="M208" s="11">
        <v>0</v>
      </c>
      <c r="N208" s="11">
        <v>0</v>
      </c>
      <c r="O208" s="11" t="s">
        <v>597</v>
      </c>
      <c r="Q208" s="11"/>
      <c r="R208" s="11"/>
      <c r="S208" s="11"/>
      <c r="T208" s="11"/>
      <c r="U208" s="11"/>
      <c r="V208" s="11" t="s">
        <v>691</v>
      </c>
      <c r="W208" s="11"/>
      <c r="X208" s="11"/>
      <c r="Y208" s="11"/>
      <c r="Z208" s="11"/>
    </row>
    <row r="209" spans="1:26" ht="13" customHeight="1">
      <c r="A209" s="11" t="s">
        <v>439</v>
      </c>
      <c r="B209" s="11" t="s">
        <v>101</v>
      </c>
      <c r="C209" s="11" t="s">
        <v>574</v>
      </c>
      <c r="D209" s="11" t="s">
        <v>571</v>
      </c>
      <c r="E209" s="11" t="s">
        <v>575</v>
      </c>
      <c r="F209" s="11" t="s">
        <v>699</v>
      </c>
      <c r="G209" s="31" t="s">
        <v>48</v>
      </c>
      <c r="H209" s="27" t="s">
        <v>577</v>
      </c>
      <c r="I209" s="31" t="s">
        <v>48</v>
      </c>
      <c r="J209" s="11"/>
      <c r="K209" s="11">
        <v>1</v>
      </c>
      <c r="L209" s="11" t="s">
        <v>48</v>
      </c>
      <c r="M209" s="11">
        <v>0</v>
      </c>
      <c r="N209" s="11">
        <v>0</v>
      </c>
      <c r="O209" s="11" t="s">
        <v>598</v>
      </c>
      <c r="Q209" s="11"/>
      <c r="R209" s="11"/>
      <c r="S209" s="11"/>
      <c r="T209" s="11"/>
      <c r="U209" s="11"/>
      <c r="V209" s="11" t="s">
        <v>699</v>
      </c>
      <c r="W209" s="11"/>
      <c r="X209" s="11"/>
      <c r="Y209" s="11"/>
      <c r="Z209" s="11"/>
    </row>
    <row r="210" spans="1:26" ht="13" customHeight="1">
      <c r="A210" s="11" t="s">
        <v>439</v>
      </c>
      <c r="B210" s="11" t="s">
        <v>101</v>
      </c>
      <c r="C210" s="11" t="s">
        <v>578</v>
      </c>
      <c r="D210" s="11" t="s">
        <v>571</v>
      </c>
      <c r="E210" s="11" t="s">
        <v>579</v>
      </c>
      <c r="F210" s="11" t="s">
        <v>699</v>
      </c>
      <c r="G210" s="31" t="s">
        <v>48</v>
      </c>
      <c r="H210" s="27" t="s">
        <v>577</v>
      </c>
      <c r="I210" s="31" t="s">
        <v>48</v>
      </c>
      <c r="J210" s="11"/>
      <c r="K210" s="11">
        <v>1</v>
      </c>
      <c r="L210" s="11" t="s">
        <v>48</v>
      </c>
      <c r="M210" s="11">
        <v>0</v>
      </c>
      <c r="N210" s="11">
        <v>0</v>
      </c>
      <c r="O210" s="11" t="s">
        <v>598</v>
      </c>
      <c r="Q210" s="11"/>
      <c r="R210" s="11"/>
      <c r="S210" s="11"/>
      <c r="T210" s="11"/>
      <c r="U210" s="11"/>
      <c r="V210" s="11" t="s">
        <v>699</v>
      </c>
      <c r="W210" s="11"/>
      <c r="X210" s="11"/>
      <c r="Y210" s="11"/>
      <c r="Z210" s="11"/>
    </row>
    <row r="211" spans="1:26" ht="13" customHeight="1">
      <c r="A211" s="11" t="s">
        <v>439</v>
      </c>
      <c r="B211" s="11" t="s">
        <v>101</v>
      </c>
      <c r="C211" s="11" t="s">
        <v>580</v>
      </c>
      <c r="D211" s="11" t="s">
        <v>571</v>
      </c>
      <c r="E211" s="11" t="s">
        <v>581</v>
      </c>
      <c r="F211" s="11" t="s">
        <v>691</v>
      </c>
      <c r="G211" s="31" t="s">
        <v>48</v>
      </c>
      <c r="H211" s="27" t="s">
        <v>582</v>
      </c>
      <c r="I211" s="31" t="s">
        <v>48</v>
      </c>
      <c r="J211" s="11"/>
      <c r="K211" s="11">
        <v>1</v>
      </c>
      <c r="L211" s="11" t="s">
        <v>48</v>
      </c>
      <c r="M211" s="11">
        <v>0</v>
      </c>
      <c r="N211" s="11">
        <v>0</v>
      </c>
      <c r="O211" s="11" t="s">
        <v>597</v>
      </c>
      <c r="Q211" s="11"/>
      <c r="R211" s="11"/>
      <c r="S211" s="11"/>
      <c r="T211" s="11"/>
      <c r="U211" s="11"/>
      <c r="V211" s="11" t="s">
        <v>691</v>
      </c>
      <c r="W211" s="11"/>
      <c r="X211" s="11"/>
      <c r="Y211" s="11"/>
      <c r="Z211" s="11"/>
    </row>
    <row r="212" spans="1:26" ht="13" customHeight="1">
      <c r="A212" s="11" t="s">
        <v>439</v>
      </c>
      <c r="B212" s="11" t="s">
        <v>101</v>
      </c>
      <c r="C212" s="11" t="s">
        <v>583</v>
      </c>
      <c r="D212" s="11" t="s">
        <v>571</v>
      </c>
      <c r="E212" s="11" t="s">
        <v>584</v>
      </c>
      <c r="F212" s="11" t="s">
        <v>691</v>
      </c>
      <c r="G212" s="31" t="s">
        <v>48</v>
      </c>
      <c r="H212" s="27" t="s">
        <v>582</v>
      </c>
      <c r="I212" s="31" t="s">
        <v>48</v>
      </c>
      <c r="J212" s="11"/>
      <c r="K212" s="11">
        <v>1</v>
      </c>
      <c r="L212" s="11" t="s">
        <v>48</v>
      </c>
      <c r="M212" s="11">
        <v>0</v>
      </c>
      <c r="N212" s="11">
        <v>0</v>
      </c>
      <c r="O212" s="11" t="s">
        <v>597</v>
      </c>
      <c r="Q212" s="11"/>
      <c r="R212" s="11"/>
      <c r="S212" s="11"/>
      <c r="T212" s="11"/>
      <c r="U212" s="11"/>
      <c r="V212" s="11" t="s">
        <v>691</v>
      </c>
      <c r="W212" s="11"/>
      <c r="X212" s="11"/>
      <c r="Y212" s="11"/>
      <c r="Z212" s="11"/>
    </row>
    <row r="213" spans="1:26" ht="13" customHeight="1">
      <c r="A213" s="11" t="s">
        <v>439</v>
      </c>
      <c r="B213" s="11" t="s">
        <v>101</v>
      </c>
      <c r="C213" s="11" t="s">
        <v>585</v>
      </c>
      <c r="D213" s="11" t="s">
        <v>571</v>
      </c>
      <c r="E213" s="11" t="s">
        <v>586</v>
      </c>
      <c r="F213" s="11" t="s">
        <v>699</v>
      </c>
      <c r="G213" s="31" t="s">
        <v>48</v>
      </c>
      <c r="H213" s="27" t="s">
        <v>588</v>
      </c>
      <c r="I213" s="31" t="s">
        <v>48</v>
      </c>
      <c r="J213" s="11"/>
      <c r="K213" s="11">
        <v>1</v>
      </c>
      <c r="L213" s="11" t="s">
        <v>48</v>
      </c>
      <c r="M213" s="11">
        <v>0</v>
      </c>
      <c r="N213" s="11">
        <v>0</v>
      </c>
      <c r="O213" s="11" t="s">
        <v>598</v>
      </c>
      <c r="Q213" s="11"/>
      <c r="R213" s="11"/>
      <c r="S213" s="11"/>
      <c r="T213" s="11"/>
      <c r="U213" s="11"/>
      <c r="V213" s="11" t="s">
        <v>699</v>
      </c>
      <c r="W213" s="11"/>
      <c r="X213" s="11"/>
      <c r="Y213" s="11"/>
      <c r="Z213" s="11"/>
    </row>
    <row r="214" spans="1:26" ht="13" customHeight="1">
      <c r="A214" s="11" t="s">
        <v>439</v>
      </c>
      <c r="B214" s="11" t="s">
        <v>101</v>
      </c>
      <c r="C214" s="11" t="s">
        <v>589</v>
      </c>
      <c r="D214" s="11" t="s">
        <v>571</v>
      </c>
      <c r="E214" s="11" t="s">
        <v>590</v>
      </c>
      <c r="F214" s="11" t="s">
        <v>699</v>
      </c>
      <c r="G214" s="31" t="s">
        <v>48</v>
      </c>
      <c r="H214" s="27" t="s">
        <v>591</v>
      </c>
      <c r="I214" s="31" t="s">
        <v>48</v>
      </c>
      <c r="J214" s="11"/>
      <c r="K214" s="11">
        <v>1</v>
      </c>
      <c r="L214" s="11" t="s">
        <v>48</v>
      </c>
      <c r="M214" s="11">
        <v>0</v>
      </c>
      <c r="N214" s="11">
        <v>0</v>
      </c>
      <c r="O214" s="11" t="s">
        <v>598</v>
      </c>
      <c r="Q214" s="11"/>
      <c r="R214" s="11"/>
      <c r="S214" s="11"/>
      <c r="T214" s="11"/>
      <c r="U214" s="11"/>
      <c r="V214" s="11" t="s">
        <v>699</v>
      </c>
      <c r="W214" s="11"/>
      <c r="X214" s="11"/>
      <c r="Y214" s="11"/>
    </row>
    <row r="215" spans="1:26" ht="13" customHeight="1">
      <c r="D215" s="8"/>
      <c r="F215" s="11"/>
      <c r="G215" s="8"/>
      <c r="L215" s="8"/>
      <c r="N215" s="13"/>
    </row>
    <row r="216" spans="1:26" ht="13" customHeight="1">
      <c r="D216" s="8"/>
      <c r="G216" s="8"/>
      <c r="L216" s="8"/>
      <c r="N216" s="13"/>
    </row>
    <row r="217" spans="1:26" ht="13" customHeight="1">
      <c r="D217" s="8"/>
      <c r="G217" s="8"/>
      <c r="L217" s="8"/>
      <c r="N217" s="13"/>
    </row>
    <row r="218" spans="1:26" ht="13" customHeight="1">
      <c r="D218" s="8"/>
      <c r="G218" s="8"/>
      <c r="L218" s="8"/>
      <c r="N218" s="13"/>
    </row>
    <row r="219" spans="1:26" ht="13" customHeight="1">
      <c r="D219" s="8"/>
      <c r="G219" s="8"/>
      <c r="L219" s="8"/>
      <c r="N219" s="13"/>
    </row>
    <row r="220" spans="1:26" ht="13" customHeight="1">
      <c r="D220" s="8"/>
      <c r="G220" s="8"/>
      <c r="L220" s="8"/>
      <c r="N220" s="13"/>
    </row>
    <row r="221" spans="1:26" ht="13" customHeight="1">
      <c r="D221" s="8"/>
      <c r="G221" s="8"/>
      <c r="L221" s="8"/>
      <c r="N221" s="13"/>
    </row>
    <row r="222" spans="1:26" ht="13" customHeight="1">
      <c r="D222" s="8"/>
      <c r="G222" s="8"/>
      <c r="L222" s="8"/>
      <c r="N222" s="13"/>
    </row>
    <row r="223" spans="1:26" ht="13" customHeight="1">
      <c r="D223" s="8"/>
      <c r="G223" s="8"/>
      <c r="L223" s="8"/>
      <c r="N223" s="13"/>
    </row>
    <row r="224" spans="1:26" ht="13" customHeight="1">
      <c r="D224" s="8"/>
      <c r="G224" s="8"/>
      <c r="L224" s="8"/>
      <c r="N224" s="13"/>
    </row>
    <row r="225" spans="4:14" ht="13" customHeight="1">
      <c r="D225" s="8"/>
      <c r="G225" s="8"/>
      <c r="L225" s="8"/>
      <c r="N225" s="13"/>
    </row>
    <row r="226" spans="4:14" ht="13" customHeight="1">
      <c r="D226" s="8"/>
      <c r="G226" s="8"/>
      <c r="L226" s="8"/>
      <c r="N226" s="13"/>
    </row>
    <row r="227" spans="4:14" ht="13" customHeight="1">
      <c r="D227" s="8"/>
      <c r="G227" s="8"/>
      <c r="L227" s="8"/>
      <c r="N227" s="13"/>
    </row>
    <row r="228" spans="4:14" ht="13" customHeight="1">
      <c r="D228" s="8"/>
      <c r="G228" s="8"/>
      <c r="L228" s="8"/>
      <c r="N228" s="13"/>
    </row>
    <row r="229" spans="4:14" ht="13" customHeight="1">
      <c r="D229" s="8"/>
      <c r="G229" s="8"/>
      <c r="L229" s="8"/>
      <c r="N229" s="13"/>
    </row>
    <row r="230" spans="4:14" ht="13" customHeight="1">
      <c r="D230" s="8"/>
      <c r="G230" s="8"/>
      <c r="L230" s="8"/>
      <c r="N230" s="13"/>
    </row>
    <row r="231" spans="4:14" ht="13" customHeight="1">
      <c r="D231" s="8"/>
      <c r="G231" s="8"/>
      <c r="L231" s="8"/>
      <c r="N231" s="13"/>
    </row>
    <row r="232" spans="4:14" ht="13" customHeight="1">
      <c r="D232" s="8"/>
      <c r="G232" s="8"/>
      <c r="L232" s="8"/>
      <c r="N232" s="13"/>
    </row>
    <row r="233" spans="4:14" ht="13" customHeight="1">
      <c r="D233" s="8"/>
      <c r="G233" s="8"/>
      <c r="L233" s="8"/>
      <c r="N233" s="13"/>
    </row>
    <row r="234" spans="4:14" ht="13" customHeight="1">
      <c r="D234" s="8"/>
      <c r="G234" s="8"/>
      <c r="L234" s="8"/>
      <c r="N234" s="13"/>
    </row>
    <row r="235" spans="4:14" ht="13" customHeight="1">
      <c r="D235" s="8"/>
      <c r="G235" s="8"/>
      <c r="L235" s="8"/>
      <c r="N235" s="13"/>
    </row>
    <row r="236" spans="4:14" ht="13" customHeight="1">
      <c r="D236" s="8"/>
      <c r="G236" s="8"/>
      <c r="L236" s="8"/>
      <c r="N236" s="13"/>
    </row>
    <row r="237" spans="4:14" ht="13" customHeight="1">
      <c r="D237" s="8"/>
      <c r="G237" s="8"/>
      <c r="L237" s="8"/>
      <c r="N237" s="13"/>
    </row>
    <row r="238" spans="4:14" ht="13" customHeight="1">
      <c r="D238" s="8"/>
      <c r="G238" s="8"/>
      <c r="L238" s="8"/>
      <c r="N238" s="13"/>
    </row>
    <row r="239" spans="4:14" ht="13" customHeight="1">
      <c r="D239" s="8"/>
      <c r="G239" s="8"/>
      <c r="L239" s="8"/>
      <c r="N239" s="13"/>
    </row>
    <row r="240" spans="4:14" ht="13" customHeight="1">
      <c r="D240" s="8"/>
      <c r="G240" s="8"/>
      <c r="L240" s="8"/>
      <c r="N240" s="13"/>
    </row>
    <row r="241" spans="4:14" ht="13" customHeight="1">
      <c r="D241" s="8"/>
      <c r="G241" s="8"/>
      <c r="L241" s="8"/>
      <c r="N241" s="13"/>
    </row>
    <row r="242" spans="4:14" ht="13" customHeight="1">
      <c r="D242" s="8"/>
      <c r="G242" s="8"/>
      <c r="L242" s="8"/>
      <c r="N242" s="13"/>
    </row>
    <row r="243" spans="4:14" ht="13" customHeight="1">
      <c r="D243" s="8"/>
      <c r="G243" s="8"/>
      <c r="L243" s="8"/>
      <c r="N243" s="13"/>
    </row>
    <row r="244" spans="4:14" ht="13" customHeight="1">
      <c r="D244" s="8"/>
      <c r="G244" s="8"/>
      <c r="L244" s="8"/>
      <c r="N244" s="13"/>
    </row>
    <row r="245" spans="4:14" ht="13" customHeight="1">
      <c r="D245" s="8"/>
      <c r="G245" s="8"/>
      <c r="L245" s="8"/>
      <c r="N245" s="13"/>
    </row>
    <row r="246" spans="4:14" ht="13" customHeight="1">
      <c r="D246" s="8"/>
      <c r="G246" s="8"/>
      <c r="L246" s="8"/>
      <c r="N246" s="13"/>
    </row>
    <row r="247" spans="4:14" ht="13" customHeight="1">
      <c r="D247" s="8"/>
      <c r="G247" s="8"/>
      <c r="L247" s="8"/>
      <c r="N247" s="13"/>
    </row>
    <row r="248" spans="4:14" ht="13" customHeight="1">
      <c r="D248" s="8"/>
      <c r="G248" s="8"/>
      <c r="L248" s="8"/>
      <c r="N248" s="13"/>
    </row>
    <row r="249" spans="4:14" ht="13" customHeight="1">
      <c r="D249" s="8"/>
      <c r="G249" s="8"/>
      <c r="L249" s="8"/>
      <c r="N249" s="13"/>
    </row>
    <row r="250" spans="4:14" ht="13" customHeight="1">
      <c r="D250" s="8"/>
      <c r="G250" s="8"/>
      <c r="L250" s="8"/>
      <c r="N250" s="13"/>
    </row>
    <row r="251" spans="4:14" ht="13" customHeight="1">
      <c r="D251" s="8"/>
      <c r="G251" s="8"/>
      <c r="L251" s="8"/>
      <c r="N251" s="13"/>
    </row>
    <row r="252" spans="4:14" ht="13" customHeight="1">
      <c r="D252" s="8"/>
      <c r="G252" s="8"/>
      <c r="L252" s="8"/>
      <c r="N252" s="13"/>
    </row>
    <row r="253" spans="4:14" ht="13" customHeight="1">
      <c r="D253" s="8"/>
      <c r="G253" s="8"/>
      <c r="L253" s="8"/>
      <c r="N253" s="13"/>
    </row>
    <row r="254" spans="4:14" ht="13" customHeight="1">
      <c r="D254" s="8"/>
      <c r="G254" s="8"/>
      <c r="L254" s="8"/>
      <c r="N254" s="13"/>
    </row>
    <row r="255" spans="4:14" ht="13" customHeight="1">
      <c r="D255" s="8"/>
      <c r="G255" s="8"/>
      <c r="L255" s="8"/>
      <c r="N255" s="13"/>
    </row>
    <row r="256" spans="4:14" ht="13" customHeight="1">
      <c r="D256" s="8"/>
      <c r="G256" s="8"/>
      <c r="L256" s="8"/>
      <c r="N256" s="13"/>
    </row>
    <row r="257" spans="4:14" ht="13" customHeight="1">
      <c r="D257" s="8"/>
      <c r="G257" s="8"/>
      <c r="L257" s="8"/>
      <c r="N257" s="13"/>
    </row>
    <row r="258" spans="4:14" ht="13" customHeight="1">
      <c r="D258" s="8"/>
      <c r="G258" s="8"/>
      <c r="L258" s="8"/>
      <c r="N258" s="13"/>
    </row>
    <row r="259" spans="4:14" ht="13" customHeight="1">
      <c r="D259" s="8"/>
      <c r="G259" s="8"/>
      <c r="L259" s="8"/>
      <c r="N259" s="13"/>
    </row>
    <row r="260" spans="4:14" ht="13" customHeight="1">
      <c r="D260" s="8"/>
      <c r="G260" s="8"/>
      <c r="L260" s="8"/>
      <c r="N260" s="13"/>
    </row>
    <row r="261" spans="4:14" ht="13" customHeight="1">
      <c r="D261" s="8"/>
      <c r="G261" s="8"/>
      <c r="L261" s="8"/>
      <c r="N261" s="13"/>
    </row>
    <row r="262" spans="4:14" ht="13" customHeight="1">
      <c r="D262" s="8"/>
      <c r="G262" s="8"/>
      <c r="L262" s="8"/>
      <c r="N262" s="13"/>
    </row>
    <row r="263" spans="4:14" ht="13" customHeight="1">
      <c r="D263" s="8"/>
      <c r="G263" s="8"/>
      <c r="L263" s="8"/>
      <c r="N263" s="13"/>
    </row>
    <row r="264" spans="4:14" ht="13" customHeight="1">
      <c r="D264" s="8"/>
      <c r="G264" s="8"/>
      <c r="L264" s="8"/>
      <c r="N264" s="13"/>
    </row>
    <row r="265" spans="4:14" ht="13" customHeight="1">
      <c r="D265" s="8"/>
      <c r="G265" s="8"/>
      <c r="L265" s="8"/>
      <c r="N265" s="13"/>
    </row>
    <row r="266" spans="4:14" ht="13" customHeight="1">
      <c r="D266" s="8"/>
      <c r="G266" s="8"/>
      <c r="L266" s="8"/>
      <c r="N266" s="13"/>
    </row>
    <row r="267" spans="4:14" ht="13" customHeight="1">
      <c r="D267" s="8"/>
      <c r="G267" s="8"/>
      <c r="L267" s="8"/>
      <c r="N267" s="13"/>
    </row>
    <row r="268" spans="4:14" ht="13" customHeight="1">
      <c r="D268" s="8"/>
      <c r="G268" s="8"/>
      <c r="L268" s="8"/>
      <c r="N268" s="13"/>
    </row>
    <row r="269" spans="4:14" ht="13" customHeight="1">
      <c r="D269" s="8"/>
      <c r="G269" s="8"/>
      <c r="L269" s="8"/>
      <c r="N269" s="13"/>
    </row>
    <row r="270" spans="4:14" ht="13" customHeight="1">
      <c r="D270" s="8"/>
      <c r="G270" s="8"/>
      <c r="L270" s="8"/>
      <c r="N270" s="13"/>
    </row>
    <row r="271" spans="4:14" ht="13" customHeight="1">
      <c r="D271" s="8"/>
      <c r="G271" s="8"/>
      <c r="L271" s="8"/>
      <c r="N271" s="13"/>
    </row>
    <row r="272" spans="4:14" ht="13" customHeight="1">
      <c r="D272" s="8"/>
      <c r="G272" s="8"/>
      <c r="L272" s="8"/>
      <c r="N272" s="13"/>
    </row>
    <row r="273" spans="4:14" ht="13" customHeight="1">
      <c r="D273" s="8"/>
      <c r="G273" s="8"/>
      <c r="L273" s="8"/>
      <c r="N273" s="13"/>
    </row>
    <row r="274" spans="4:14" ht="13" customHeight="1">
      <c r="D274" s="8"/>
      <c r="G274" s="8"/>
      <c r="L274" s="8"/>
      <c r="N274" s="13"/>
    </row>
    <row r="275" spans="4:14" ht="13" customHeight="1">
      <c r="D275" s="8"/>
      <c r="G275" s="8"/>
      <c r="L275" s="8"/>
      <c r="N275" s="13"/>
    </row>
    <row r="276" spans="4:14" ht="13" customHeight="1">
      <c r="D276" s="8"/>
      <c r="G276" s="8"/>
      <c r="L276" s="8"/>
      <c r="N276" s="13"/>
    </row>
    <row r="277" spans="4:14" ht="13" customHeight="1">
      <c r="D277" s="8"/>
      <c r="G277" s="8"/>
      <c r="L277" s="8"/>
      <c r="N277" s="13"/>
    </row>
    <row r="278" spans="4:14" ht="13" customHeight="1">
      <c r="D278" s="8"/>
      <c r="G278" s="8"/>
      <c r="L278" s="8"/>
      <c r="N278" s="13"/>
    </row>
    <row r="279" spans="4:14" ht="13" customHeight="1">
      <c r="D279" s="8"/>
      <c r="G279" s="8"/>
      <c r="L279" s="8"/>
      <c r="N279" s="13"/>
    </row>
    <row r="280" spans="4:14" ht="13" customHeight="1">
      <c r="D280" s="8"/>
      <c r="G280" s="8"/>
      <c r="L280" s="8"/>
      <c r="N280" s="13"/>
    </row>
    <row r="281" spans="4:14" ht="13" customHeight="1">
      <c r="D281" s="8"/>
      <c r="G281" s="8"/>
      <c r="L281" s="8"/>
      <c r="N281" s="13"/>
    </row>
    <row r="282" spans="4:14" ht="13" customHeight="1">
      <c r="D282" s="8"/>
      <c r="G282" s="8"/>
      <c r="L282" s="8"/>
      <c r="N282" s="13"/>
    </row>
    <row r="283" spans="4:14" ht="13" customHeight="1">
      <c r="D283" s="8"/>
      <c r="G283" s="8"/>
      <c r="L283" s="8"/>
      <c r="N283" s="13"/>
    </row>
    <row r="284" spans="4:14" ht="13" customHeight="1">
      <c r="D284" s="8"/>
      <c r="G284" s="8"/>
      <c r="L284" s="8"/>
      <c r="N284" s="13"/>
    </row>
    <row r="285" spans="4:14" ht="13" customHeight="1">
      <c r="D285" s="8"/>
      <c r="G285" s="8"/>
      <c r="L285" s="8"/>
      <c r="N285" s="13"/>
    </row>
    <row r="286" spans="4:14" ht="13" customHeight="1">
      <c r="D286" s="8"/>
      <c r="G286" s="8"/>
      <c r="L286" s="8"/>
      <c r="N286" s="13"/>
    </row>
    <row r="287" spans="4:14" ht="13" customHeight="1">
      <c r="D287" s="8"/>
      <c r="G287" s="8"/>
      <c r="L287" s="8"/>
      <c r="N287" s="13"/>
    </row>
    <row r="288" spans="4:14" ht="13" customHeight="1">
      <c r="D288" s="8"/>
      <c r="G288" s="8"/>
      <c r="L288" s="8"/>
      <c r="N288" s="13"/>
    </row>
    <row r="289" spans="4:14" ht="13" customHeight="1">
      <c r="D289" s="8"/>
      <c r="G289" s="8"/>
      <c r="L289" s="8"/>
      <c r="N289" s="13"/>
    </row>
    <row r="290" spans="4:14" ht="13" customHeight="1">
      <c r="D290" s="8"/>
      <c r="G290" s="8"/>
      <c r="L290" s="8"/>
      <c r="N290" s="13"/>
    </row>
    <row r="291" spans="4:14" ht="13" customHeight="1">
      <c r="D291" s="8"/>
      <c r="G291" s="8"/>
      <c r="L291" s="8"/>
      <c r="N291" s="13"/>
    </row>
    <row r="292" spans="4:14" ht="13" customHeight="1">
      <c r="D292" s="8"/>
      <c r="G292" s="8"/>
      <c r="L292" s="8"/>
      <c r="N292" s="13"/>
    </row>
    <row r="293" spans="4:14" ht="13" customHeight="1">
      <c r="D293" s="8"/>
      <c r="G293" s="8"/>
      <c r="L293" s="8"/>
      <c r="N293" s="13"/>
    </row>
    <row r="294" spans="4:14" ht="13" customHeight="1">
      <c r="D294" s="8"/>
      <c r="G294" s="8"/>
      <c r="L294" s="8"/>
      <c r="N294" s="13"/>
    </row>
    <row r="295" spans="4:14" ht="13" customHeight="1">
      <c r="D295" s="8"/>
      <c r="G295" s="8"/>
      <c r="L295" s="8"/>
      <c r="N295" s="13"/>
    </row>
    <row r="296" spans="4:14" ht="13" customHeight="1">
      <c r="D296" s="8"/>
      <c r="G296" s="8"/>
      <c r="L296" s="8"/>
      <c r="N296" s="13"/>
    </row>
    <row r="297" spans="4:14" ht="13" customHeight="1">
      <c r="D297" s="8"/>
      <c r="G297" s="8"/>
      <c r="L297" s="8"/>
      <c r="N297" s="13"/>
    </row>
    <row r="298" spans="4:14" ht="13" customHeight="1">
      <c r="D298" s="8"/>
      <c r="G298" s="8"/>
      <c r="L298" s="8"/>
      <c r="N298" s="13"/>
    </row>
    <row r="299" spans="4:14" ht="13" customHeight="1">
      <c r="D299" s="8"/>
      <c r="G299" s="8"/>
      <c r="L299" s="8"/>
      <c r="N299" s="13"/>
    </row>
    <row r="300" spans="4:14" ht="13" customHeight="1">
      <c r="D300" s="8"/>
      <c r="G300" s="8"/>
      <c r="L300" s="8"/>
      <c r="N300" s="13"/>
    </row>
    <row r="301" spans="4:14" ht="13" customHeight="1">
      <c r="D301" s="8"/>
      <c r="G301" s="8"/>
      <c r="L301" s="8"/>
      <c r="N301" s="13"/>
    </row>
    <row r="302" spans="4:14" ht="13" customHeight="1">
      <c r="D302" s="8"/>
      <c r="G302" s="8"/>
      <c r="L302" s="8"/>
      <c r="N302" s="13"/>
    </row>
    <row r="303" spans="4:14" ht="13" customHeight="1">
      <c r="D303" s="8"/>
      <c r="G303" s="8"/>
      <c r="L303" s="8"/>
      <c r="N303" s="13"/>
    </row>
    <row r="304" spans="4:14" ht="13" customHeight="1">
      <c r="D304" s="8"/>
      <c r="G304" s="8"/>
      <c r="L304" s="8"/>
      <c r="N304" s="13"/>
    </row>
    <row r="305" spans="4:14" ht="13" customHeight="1">
      <c r="D305" s="8"/>
      <c r="G305" s="8"/>
      <c r="L305" s="8"/>
      <c r="N305" s="13"/>
    </row>
    <row r="306" spans="4:14" ht="13" customHeight="1">
      <c r="D306" s="8"/>
      <c r="G306" s="8"/>
      <c r="L306" s="8"/>
      <c r="N306" s="13"/>
    </row>
    <row r="307" spans="4:14" ht="13" customHeight="1">
      <c r="D307" s="8"/>
      <c r="G307" s="8"/>
      <c r="L307" s="8"/>
      <c r="N307" s="13"/>
    </row>
    <row r="308" spans="4:14" ht="13" customHeight="1">
      <c r="D308" s="8"/>
      <c r="G308" s="8"/>
      <c r="L308" s="8"/>
      <c r="N308" s="13"/>
    </row>
    <row r="309" spans="4:14" ht="13" customHeight="1">
      <c r="D309" s="8"/>
      <c r="G309" s="8"/>
      <c r="L309" s="8"/>
      <c r="N309" s="13"/>
    </row>
    <row r="310" spans="4:14" ht="13" customHeight="1">
      <c r="D310" s="8"/>
      <c r="G310" s="8"/>
      <c r="L310" s="8"/>
      <c r="N310" s="13"/>
    </row>
    <row r="311" spans="4:14" ht="13" customHeight="1">
      <c r="D311" s="8"/>
      <c r="G311" s="8"/>
      <c r="L311" s="8"/>
      <c r="N311" s="13"/>
    </row>
    <row r="312" spans="4:14" ht="13" customHeight="1">
      <c r="D312" s="8"/>
      <c r="G312" s="8"/>
      <c r="L312" s="8"/>
      <c r="N312" s="13"/>
    </row>
    <row r="313" spans="4:14" ht="13" customHeight="1">
      <c r="D313" s="8"/>
      <c r="G313" s="8"/>
      <c r="L313" s="8"/>
      <c r="N313" s="13"/>
    </row>
    <row r="314" spans="4:14" ht="13" customHeight="1">
      <c r="D314" s="8"/>
      <c r="G314" s="8"/>
      <c r="L314" s="8"/>
      <c r="N314" s="13"/>
    </row>
    <row r="315" spans="4:14" ht="13" customHeight="1">
      <c r="D315" s="8"/>
      <c r="G315" s="8"/>
      <c r="L315" s="8"/>
      <c r="N315" s="13"/>
    </row>
    <row r="316" spans="4:14" ht="13" customHeight="1">
      <c r="D316" s="8"/>
      <c r="G316" s="8"/>
      <c r="L316" s="8"/>
      <c r="N316" s="13"/>
    </row>
    <row r="317" spans="4:14" ht="13" customHeight="1">
      <c r="D317" s="8"/>
      <c r="G317" s="8"/>
      <c r="L317" s="8"/>
      <c r="N317" s="13"/>
    </row>
    <row r="318" spans="4:14" ht="13" customHeight="1">
      <c r="D318" s="8"/>
      <c r="G318" s="8"/>
      <c r="L318" s="8"/>
      <c r="N318" s="13"/>
    </row>
    <row r="319" spans="4:14" ht="13" customHeight="1">
      <c r="D319" s="8"/>
      <c r="G319" s="8"/>
      <c r="L319" s="8"/>
      <c r="N319" s="13"/>
    </row>
    <row r="320" spans="4:14" ht="13" customHeight="1">
      <c r="D320" s="8"/>
      <c r="G320" s="8"/>
      <c r="L320" s="8"/>
      <c r="N320" s="13"/>
    </row>
    <row r="321" spans="4:14" ht="13" customHeight="1">
      <c r="D321" s="8"/>
      <c r="G321" s="8"/>
      <c r="L321" s="8"/>
      <c r="N321" s="13"/>
    </row>
    <row r="322" spans="4:14" ht="13" customHeight="1">
      <c r="D322" s="8"/>
      <c r="G322" s="8"/>
      <c r="L322" s="8"/>
      <c r="N322" s="13"/>
    </row>
    <row r="323" spans="4:14" ht="13" customHeight="1">
      <c r="D323" s="8"/>
      <c r="G323" s="8"/>
      <c r="L323" s="8"/>
      <c r="N323" s="13"/>
    </row>
    <row r="324" spans="4:14" ht="13" customHeight="1">
      <c r="D324" s="8"/>
      <c r="G324" s="8"/>
      <c r="L324" s="8"/>
      <c r="N324" s="13"/>
    </row>
    <row r="325" spans="4:14" ht="13" customHeight="1">
      <c r="D325" s="8"/>
      <c r="G325" s="8"/>
      <c r="L325" s="8"/>
      <c r="N325" s="13"/>
    </row>
    <row r="326" spans="4:14" ht="13" customHeight="1">
      <c r="D326" s="8"/>
      <c r="G326" s="8"/>
      <c r="L326" s="8"/>
      <c r="N326" s="13"/>
    </row>
    <row r="327" spans="4:14" ht="13" customHeight="1">
      <c r="D327" s="8"/>
      <c r="G327" s="8"/>
      <c r="L327" s="8"/>
      <c r="N327" s="13"/>
    </row>
    <row r="328" spans="4:14" ht="13" customHeight="1">
      <c r="D328" s="8"/>
      <c r="G328" s="8"/>
      <c r="L328" s="8"/>
      <c r="N328" s="13"/>
    </row>
    <row r="329" spans="4:14" ht="13" customHeight="1">
      <c r="D329" s="8"/>
      <c r="G329" s="8"/>
      <c r="L329" s="8"/>
      <c r="N329" s="13"/>
    </row>
    <row r="330" spans="4:14" ht="13" customHeight="1">
      <c r="D330" s="8"/>
      <c r="G330" s="8"/>
      <c r="L330" s="8"/>
      <c r="N330" s="13"/>
    </row>
    <row r="331" spans="4:14" ht="13" customHeight="1">
      <c r="D331" s="8"/>
      <c r="G331" s="8"/>
      <c r="L331" s="8"/>
      <c r="N331" s="13"/>
    </row>
    <row r="332" spans="4:14" ht="13" customHeight="1">
      <c r="D332" s="8"/>
      <c r="G332" s="8"/>
      <c r="L332" s="8"/>
      <c r="N332" s="13"/>
    </row>
    <row r="333" spans="4:14" ht="13" customHeight="1">
      <c r="D333" s="8"/>
      <c r="G333" s="8"/>
      <c r="L333" s="8"/>
      <c r="N333" s="13"/>
    </row>
    <row r="334" spans="4:14" ht="13" customHeight="1">
      <c r="D334" s="8"/>
      <c r="G334" s="8"/>
      <c r="L334" s="8"/>
      <c r="N334" s="13"/>
    </row>
    <row r="335" spans="4:14" ht="13" customHeight="1">
      <c r="D335" s="8"/>
      <c r="G335" s="8"/>
      <c r="L335" s="8"/>
      <c r="N335" s="13"/>
    </row>
    <row r="336" spans="4:14" ht="13" customHeight="1">
      <c r="D336" s="8"/>
      <c r="G336" s="8"/>
      <c r="L336" s="8"/>
      <c r="N336" s="13"/>
    </row>
    <row r="337" spans="4:14" ht="13" customHeight="1">
      <c r="D337" s="8"/>
      <c r="G337" s="8"/>
      <c r="L337" s="8"/>
      <c r="N337" s="13"/>
    </row>
    <row r="338" spans="4:14" ht="13" customHeight="1">
      <c r="D338" s="8"/>
      <c r="G338" s="8"/>
      <c r="L338" s="8"/>
      <c r="N338" s="13"/>
    </row>
    <row r="339" spans="4:14" ht="13" customHeight="1">
      <c r="D339" s="8"/>
      <c r="G339" s="8"/>
      <c r="L339" s="8"/>
      <c r="N339" s="13"/>
    </row>
    <row r="340" spans="4:14" ht="13" customHeight="1">
      <c r="D340" s="8"/>
      <c r="G340" s="8"/>
      <c r="L340" s="8"/>
      <c r="N340" s="13"/>
    </row>
    <row r="341" spans="4:14" ht="13" customHeight="1">
      <c r="D341" s="8"/>
      <c r="G341" s="8"/>
      <c r="L341" s="8"/>
      <c r="N341" s="13"/>
    </row>
    <row r="342" spans="4:14" ht="13" customHeight="1">
      <c r="D342" s="8"/>
      <c r="G342" s="8"/>
      <c r="L342" s="8"/>
      <c r="N342" s="13"/>
    </row>
    <row r="343" spans="4:14" ht="13" customHeight="1">
      <c r="D343" s="8"/>
      <c r="G343" s="8"/>
      <c r="L343" s="8"/>
      <c r="N343" s="13"/>
    </row>
    <row r="344" spans="4:14" ht="13" customHeight="1">
      <c r="D344" s="8"/>
      <c r="G344" s="8"/>
      <c r="L344" s="8"/>
      <c r="N344" s="13"/>
    </row>
    <row r="345" spans="4:14" ht="13" customHeight="1">
      <c r="D345" s="8"/>
      <c r="G345" s="8"/>
      <c r="L345" s="8"/>
      <c r="N345" s="13"/>
    </row>
    <row r="346" spans="4:14" ht="13" customHeight="1">
      <c r="D346" s="8"/>
      <c r="G346" s="8"/>
      <c r="L346" s="8"/>
      <c r="N346" s="13"/>
    </row>
    <row r="347" spans="4:14" ht="13" customHeight="1">
      <c r="D347" s="8"/>
      <c r="G347" s="8"/>
      <c r="L347" s="8"/>
      <c r="N347" s="13"/>
    </row>
    <row r="348" spans="4:14" ht="13" customHeight="1">
      <c r="D348" s="8"/>
      <c r="G348" s="8"/>
      <c r="L348" s="8"/>
      <c r="N348" s="13"/>
    </row>
    <row r="349" spans="4:14" ht="13" customHeight="1">
      <c r="D349" s="8"/>
      <c r="G349" s="8"/>
      <c r="L349" s="8"/>
      <c r="N349" s="13"/>
    </row>
    <row r="350" spans="4:14" ht="13" customHeight="1">
      <c r="D350" s="8"/>
      <c r="G350" s="8"/>
      <c r="L350" s="8"/>
      <c r="N350" s="13"/>
    </row>
    <row r="351" spans="4:14" ht="13" customHeight="1">
      <c r="D351" s="8"/>
      <c r="G351" s="8"/>
      <c r="L351" s="8"/>
      <c r="N351" s="13"/>
    </row>
    <row r="352" spans="4:14" ht="13" customHeight="1">
      <c r="D352" s="8"/>
      <c r="G352" s="8"/>
      <c r="L352" s="8"/>
      <c r="N352" s="13"/>
    </row>
    <row r="353" spans="4:14" ht="13" customHeight="1">
      <c r="D353" s="8"/>
      <c r="G353" s="8"/>
      <c r="L353" s="8"/>
      <c r="N353" s="13"/>
    </row>
    <row r="354" spans="4:14" ht="13" customHeight="1">
      <c r="D354" s="8"/>
      <c r="G354" s="8"/>
      <c r="L354" s="8"/>
      <c r="N354" s="13"/>
    </row>
    <row r="355" spans="4:14" ht="13" customHeight="1">
      <c r="D355" s="8"/>
      <c r="G355" s="8"/>
      <c r="L355" s="8"/>
      <c r="N355" s="13"/>
    </row>
    <row r="356" spans="4:14" ht="13" customHeight="1">
      <c r="D356" s="8"/>
      <c r="G356" s="8"/>
      <c r="L356" s="8"/>
      <c r="N356" s="13"/>
    </row>
    <row r="357" spans="4:14" ht="13" customHeight="1">
      <c r="D357" s="8"/>
      <c r="G357" s="8"/>
      <c r="L357" s="8"/>
      <c r="N357" s="13"/>
    </row>
    <row r="358" spans="4:14" ht="13" customHeight="1">
      <c r="D358" s="8"/>
      <c r="G358" s="8"/>
      <c r="L358" s="8"/>
      <c r="N358" s="13"/>
    </row>
    <row r="359" spans="4:14" ht="13" customHeight="1">
      <c r="D359" s="8"/>
      <c r="G359" s="8"/>
      <c r="L359" s="8"/>
      <c r="N359" s="13"/>
    </row>
    <row r="360" spans="4:14" ht="13" customHeight="1">
      <c r="D360" s="8"/>
      <c r="G360" s="8"/>
      <c r="L360" s="8"/>
      <c r="N360" s="13"/>
    </row>
    <row r="361" spans="4:14" ht="13" customHeight="1">
      <c r="D361" s="8"/>
      <c r="G361" s="8"/>
      <c r="L361" s="8"/>
      <c r="N361" s="13"/>
    </row>
    <row r="362" spans="4:14" ht="13" customHeight="1">
      <c r="D362" s="8"/>
      <c r="G362" s="8"/>
      <c r="L362" s="8"/>
      <c r="N362" s="13"/>
    </row>
    <row r="363" spans="4:14" ht="13" customHeight="1">
      <c r="D363" s="8"/>
      <c r="G363" s="8"/>
      <c r="L363" s="8"/>
      <c r="N363" s="13"/>
    </row>
    <row r="364" spans="4:14" ht="13" customHeight="1">
      <c r="D364" s="8"/>
      <c r="G364" s="8"/>
      <c r="L364" s="8"/>
      <c r="N364" s="13"/>
    </row>
    <row r="365" spans="4:14" ht="13" customHeight="1">
      <c r="D365" s="8"/>
      <c r="G365" s="8"/>
      <c r="L365" s="8"/>
      <c r="N365" s="13"/>
    </row>
    <row r="366" spans="4:14" ht="13" customHeight="1">
      <c r="D366" s="8"/>
      <c r="G366" s="8"/>
      <c r="L366" s="8"/>
      <c r="N366" s="13"/>
    </row>
    <row r="367" spans="4:14" ht="13" customHeight="1">
      <c r="D367" s="8"/>
      <c r="G367" s="8"/>
      <c r="L367" s="8"/>
      <c r="N367" s="13"/>
    </row>
    <row r="368" spans="4:14" ht="13" customHeight="1">
      <c r="D368" s="8"/>
      <c r="G368" s="8"/>
      <c r="L368" s="8"/>
      <c r="N368" s="13"/>
    </row>
    <row r="369" spans="4:14" ht="13" customHeight="1">
      <c r="D369" s="8"/>
      <c r="G369" s="8"/>
      <c r="L369" s="8"/>
      <c r="N369" s="13"/>
    </row>
    <row r="370" spans="4:14" ht="13" customHeight="1">
      <c r="D370" s="8"/>
      <c r="G370" s="8"/>
      <c r="L370" s="8"/>
      <c r="N370" s="13"/>
    </row>
    <row r="371" spans="4:14" ht="13" customHeight="1">
      <c r="D371" s="8"/>
      <c r="G371" s="8"/>
      <c r="L371" s="8"/>
      <c r="N371" s="13"/>
    </row>
    <row r="372" spans="4:14" ht="13" customHeight="1">
      <c r="D372" s="8"/>
      <c r="G372" s="8"/>
      <c r="L372" s="8"/>
      <c r="N372" s="13"/>
    </row>
    <row r="373" spans="4:14" ht="13" customHeight="1">
      <c r="D373" s="8"/>
      <c r="G373" s="8"/>
      <c r="L373" s="8"/>
      <c r="N373" s="13"/>
    </row>
    <row r="374" spans="4:14" ht="13" customHeight="1">
      <c r="D374" s="8"/>
      <c r="G374" s="8"/>
      <c r="L374" s="8"/>
      <c r="N374" s="13"/>
    </row>
    <row r="375" spans="4:14" ht="13" customHeight="1">
      <c r="D375" s="8"/>
      <c r="G375" s="8"/>
      <c r="L375" s="8"/>
      <c r="N375" s="13"/>
    </row>
    <row r="376" spans="4:14" ht="13" customHeight="1">
      <c r="D376" s="8"/>
      <c r="G376" s="8"/>
      <c r="L376" s="8"/>
      <c r="N376" s="13"/>
    </row>
    <row r="377" spans="4:14" ht="13" customHeight="1">
      <c r="D377" s="8"/>
      <c r="G377" s="8"/>
      <c r="L377" s="8"/>
      <c r="N377" s="13"/>
    </row>
    <row r="378" spans="4:14" ht="13" customHeight="1">
      <c r="D378" s="8"/>
      <c r="G378" s="8"/>
      <c r="L378" s="8"/>
      <c r="N378" s="13"/>
    </row>
    <row r="379" spans="4:14" ht="13" customHeight="1">
      <c r="D379" s="8"/>
      <c r="G379" s="8"/>
      <c r="L379" s="8"/>
      <c r="N379" s="13"/>
    </row>
    <row r="380" spans="4:14" ht="13" customHeight="1">
      <c r="D380" s="8"/>
      <c r="G380" s="8"/>
      <c r="L380" s="8"/>
      <c r="N380" s="13"/>
    </row>
    <row r="381" spans="4:14" ht="13" customHeight="1">
      <c r="D381" s="8"/>
      <c r="G381" s="8"/>
      <c r="L381" s="8"/>
      <c r="N381" s="13"/>
    </row>
    <row r="382" spans="4:14" ht="13" customHeight="1">
      <c r="D382" s="8"/>
      <c r="G382" s="8"/>
      <c r="L382" s="8"/>
      <c r="N382" s="13"/>
    </row>
    <row r="383" spans="4:14" ht="13" customHeight="1">
      <c r="D383" s="8"/>
      <c r="G383" s="8"/>
      <c r="L383" s="8"/>
      <c r="N383" s="13"/>
    </row>
    <row r="384" spans="4:14" ht="13" customHeight="1">
      <c r="D384" s="8"/>
      <c r="G384" s="8"/>
      <c r="L384" s="8"/>
      <c r="N384" s="13"/>
    </row>
    <row r="385" spans="4:14" ht="13" customHeight="1">
      <c r="D385" s="8"/>
      <c r="G385" s="8"/>
      <c r="L385" s="8"/>
      <c r="N385" s="13"/>
    </row>
    <row r="386" spans="4:14" ht="13" customHeight="1">
      <c r="D386" s="8"/>
      <c r="G386" s="8"/>
      <c r="L386" s="8"/>
      <c r="N386" s="13"/>
    </row>
    <row r="387" spans="4:14" ht="13" customHeight="1">
      <c r="D387" s="8"/>
      <c r="G387" s="8"/>
      <c r="L387" s="8"/>
      <c r="N387" s="13"/>
    </row>
    <row r="388" spans="4:14" ht="13" customHeight="1">
      <c r="D388" s="8"/>
      <c r="G388" s="8"/>
      <c r="L388" s="8"/>
      <c r="N388" s="13"/>
    </row>
    <row r="389" spans="4:14" ht="13" customHeight="1">
      <c r="D389" s="8"/>
      <c r="G389" s="8"/>
      <c r="L389" s="8"/>
      <c r="N389" s="13"/>
    </row>
    <row r="390" spans="4:14" ht="13" customHeight="1">
      <c r="D390" s="8"/>
      <c r="G390" s="8"/>
      <c r="L390" s="8"/>
      <c r="N390" s="13"/>
    </row>
    <row r="391" spans="4:14" ht="13" customHeight="1">
      <c r="D391" s="8"/>
      <c r="G391" s="8"/>
      <c r="L391" s="8"/>
      <c r="N391" s="13"/>
    </row>
    <row r="392" spans="4:14" ht="13" customHeight="1">
      <c r="D392" s="8"/>
      <c r="G392" s="8"/>
      <c r="L392" s="8"/>
      <c r="N392" s="13"/>
    </row>
    <row r="393" spans="4:14" ht="13" customHeight="1">
      <c r="D393" s="8"/>
      <c r="G393" s="8"/>
      <c r="L393" s="8"/>
      <c r="N393" s="13"/>
    </row>
    <row r="394" spans="4:14" ht="13" customHeight="1">
      <c r="D394" s="8"/>
      <c r="G394" s="8"/>
      <c r="L394" s="8"/>
      <c r="N394" s="13"/>
    </row>
    <row r="395" spans="4:14" ht="13" customHeight="1">
      <c r="D395" s="8"/>
      <c r="G395" s="8"/>
      <c r="L395" s="8"/>
      <c r="N395" s="13"/>
    </row>
    <row r="396" spans="4:14" ht="13" customHeight="1">
      <c r="D396" s="8"/>
      <c r="G396" s="8"/>
      <c r="L396" s="8"/>
      <c r="N396" s="13"/>
    </row>
    <row r="397" spans="4:14" ht="13" customHeight="1">
      <c r="D397" s="8"/>
      <c r="G397" s="8"/>
      <c r="L397" s="8"/>
      <c r="N397" s="13"/>
    </row>
    <row r="398" spans="4:14" ht="13" customHeight="1">
      <c r="D398" s="8"/>
      <c r="G398" s="8"/>
      <c r="L398" s="8"/>
      <c r="N398" s="13"/>
    </row>
    <row r="399" spans="4:14" ht="13" customHeight="1">
      <c r="D399" s="8"/>
      <c r="G399" s="8"/>
      <c r="L399" s="8"/>
      <c r="N399" s="13"/>
    </row>
    <row r="400" spans="4:14" ht="13" customHeight="1">
      <c r="D400" s="8"/>
      <c r="G400" s="8"/>
      <c r="L400" s="8"/>
      <c r="N400" s="13"/>
    </row>
    <row r="401" spans="4:14" ht="13" customHeight="1">
      <c r="D401" s="8"/>
      <c r="G401" s="8"/>
      <c r="L401" s="8"/>
      <c r="N401" s="13"/>
    </row>
    <row r="402" spans="4:14" ht="13" customHeight="1">
      <c r="D402" s="8"/>
      <c r="G402" s="8"/>
      <c r="L402" s="8"/>
      <c r="N402" s="13"/>
    </row>
    <row r="403" spans="4:14" ht="13" customHeight="1">
      <c r="D403" s="8"/>
      <c r="G403" s="8"/>
      <c r="L403" s="8"/>
      <c r="N403" s="13"/>
    </row>
    <row r="404" spans="4:14" ht="13" customHeight="1">
      <c r="D404" s="8"/>
      <c r="G404" s="8"/>
      <c r="L404" s="8"/>
      <c r="N404" s="13"/>
    </row>
    <row r="405" spans="4:14" ht="13" customHeight="1">
      <c r="D405" s="8"/>
      <c r="G405" s="8"/>
      <c r="L405" s="8"/>
      <c r="N405" s="13"/>
    </row>
    <row r="406" spans="4:14" ht="13" customHeight="1">
      <c r="D406" s="8"/>
      <c r="G406" s="8"/>
      <c r="L406" s="8"/>
      <c r="N406" s="13"/>
    </row>
    <row r="407" spans="4:14" ht="13" customHeight="1">
      <c r="D407" s="8"/>
      <c r="G407" s="8"/>
      <c r="L407" s="8"/>
      <c r="N407" s="13"/>
    </row>
    <row r="408" spans="4:14" ht="13" customHeight="1">
      <c r="D408" s="8"/>
      <c r="G408" s="8"/>
      <c r="L408" s="8"/>
      <c r="N408" s="13"/>
    </row>
    <row r="409" spans="4:14" ht="13" customHeight="1">
      <c r="D409" s="8"/>
      <c r="G409" s="8"/>
      <c r="L409" s="8"/>
      <c r="N409" s="13"/>
    </row>
    <row r="410" spans="4:14" ht="13" customHeight="1">
      <c r="D410" s="8"/>
      <c r="G410" s="8"/>
      <c r="L410" s="8"/>
      <c r="N410" s="13"/>
    </row>
    <row r="411" spans="4:14" ht="13" customHeight="1">
      <c r="D411" s="8"/>
      <c r="G411" s="8"/>
      <c r="L411" s="8"/>
      <c r="N411" s="13"/>
    </row>
    <row r="412" spans="4:14" ht="13" customHeight="1">
      <c r="D412" s="8"/>
      <c r="G412" s="8"/>
      <c r="L412" s="8"/>
      <c r="N412" s="13"/>
    </row>
    <row r="413" spans="4:14" ht="13" customHeight="1">
      <c r="D413" s="8"/>
      <c r="G413" s="8"/>
      <c r="L413" s="8"/>
      <c r="N413" s="13"/>
    </row>
    <row r="414" spans="4:14" ht="13" customHeight="1">
      <c r="D414" s="8"/>
      <c r="G414" s="8"/>
      <c r="L414" s="8"/>
      <c r="N414" s="13"/>
    </row>
    <row r="415" spans="4:14" ht="13" customHeight="1">
      <c r="D415" s="8"/>
      <c r="G415" s="8"/>
      <c r="L415" s="8"/>
      <c r="N415" s="13"/>
    </row>
    <row r="416" spans="4:14" ht="13" customHeight="1">
      <c r="D416" s="8"/>
      <c r="G416" s="8"/>
      <c r="L416" s="8"/>
      <c r="N416" s="13"/>
    </row>
    <row r="417" spans="4:14" ht="13" customHeight="1">
      <c r="D417" s="8"/>
      <c r="G417" s="8"/>
      <c r="L417" s="8"/>
      <c r="N417" s="13"/>
    </row>
    <row r="418" spans="4:14" ht="13" customHeight="1">
      <c r="D418" s="8"/>
      <c r="G418" s="8"/>
      <c r="L418" s="8"/>
      <c r="N418" s="13"/>
    </row>
    <row r="419" spans="4:14" ht="13" customHeight="1">
      <c r="D419" s="8"/>
      <c r="G419" s="8"/>
      <c r="L419" s="8"/>
      <c r="N419" s="13"/>
    </row>
    <row r="420" spans="4:14" ht="13" customHeight="1">
      <c r="D420" s="8"/>
      <c r="G420" s="8"/>
      <c r="L420" s="8"/>
      <c r="N420" s="13"/>
    </row>
    <row r="421" spans="4:14" ht="13" customHeight="1">
      <c r="D421" s="8"/>
      <c r="G421" s="8"/>
      <c r="L421" s="8"/>
      <c r="N421" s="13"/>
    </row>
    <row r="422" spans="4:14" ht="13" customHeight="1">
      <c r="D422" s="8"/>
      <c r="G422" s="8"/>
      <c r="L422" s="8"/>
      <c r="N422" s="13"/>
    </row>
    <row r="423" spans="4:14" ht="13" customHeight="1">
      <c r="D423" s="8"/>
      <c r="G423" s="8"/>
      <c r="L423" s="8"/>
      <c r="N423" s="13"/>
    </row>
    <row r="424" spans="4:14" ht="13" customHeight="1">
      <c r="D424" s="8"/>
      <c r="G424" s="8"/>
      <c r="L424" s="8"/>
      <c r="N424" s="13"/>
    </row>
    <row r="425" spans="4:14" ht="13" customHeight="1">
      <c r="D425" s="8"/>
      <c r="G425" s="8"/>
      <c r="L425" s="8"/>
      <c r="N425" s="13"/>
    </row>
    <row r="426" spans="4:14" ht="13" customHeight="1">
      <c r="D426" s="8"/>
      <c r="G426" s="8"/>
      <c r="L426" s="8"/>
      <c r="N426" s="13"/>
    </row>
    <row r="427" spans="4:14" ht="13" customHeight="1">
      <c r="D427" s="8"/>
      <c r="G427" s="8"/>
      <c r="L427" s="8"/>
      <c r="N427" s="13"/>
    </row>
    <row r="428" spans="4:14" ht="13" customHeight="1">
      <c r="D428" s="8"/>
      <c r="G428" s="8"/>
      <c r="L428" s="8"/>
      <c r="N428" s="13"/>
    </row>
    <row r="429" spans="4:14" ht="13" customHeight="1">
      <c r="D429" s="8"/>
      <c r="G429" s="8"/>
      <c r="L429" s="8"/>
      <c r="N429" s="13"/>
    </row>
    <row r="430" spans="4:14" ht="13" customHeight="1">
      <c r="D430" s="8"/>
      <c r="G430" s="8"/>
      <c r="L430" s="8"/>
      <c r="N430" s="13"/>
    </row>
    <row r="431" spans="4:14" ht="13" customHeight="1">
      <c r="D431" s="8"/>
      <c r="G431" s="8"/>
      <c r="L431" s="8"/>
      <c r="N431" s="13"/>
    </row>
    <row r="432" spans="4:14" ht="13" customHeight="1">
      <c r="D432" s="8"/>
      <c r="G432" s="8"/>
      <c r="L432" s="8"/>
      <c r="N432" s="13"/>
    </row>
    <row r="433" spans="4:14" ht="13" customHeight="1">
      <c r="D433" s="8"/>
      <c r="G433" s="8"/>
      <c r="L433" s="8"/>
      <c r="N433" s="13"/>
    </row>
    <row r="434" spans="4:14" ht="13" customHeight="1">
      <c r="D434" s="8"/>
      <c r="G434" s="8"/>
      <c r="L434" s="8"/>
      <c r="N434" s="13"/>
    </row>
    <row r="435" spans="4:14" ht="13" customHeight="1">
      <c r="D435" s="8"/>
      <c r="G435" s="8"/>
      <c r="L435" s="8"/>
      <c r="N435" s="13"/>
    </row>
    <row r="436" spans="4:14" ht="13" customHeight="1">
      <c r="D436" s="8"/>
      <c r="G436" s="8"/>
      <c r="L436" s="8"/>
      <c r="N436" s="13"/>
    </row>
    <row r="437" spans="4:14" ht="13" customHeight="1">
      <c r="D437" s="8"/>
      <c r="G437" s="8"/>
      <c r="L437" s="8"/>
      <c r="N437" s="13"/>
    </row>
    <row r="438" spans="4:14" ht="13" customHeight="1">
      <c r="D438" s="8"/>
      <c r="G438" s="8"/>
      <c r="L438" s="8"/>
      <c r="N438" s="13"/>
    </row>
    <row r="439" spans="4:14" ht="13" customHeight="1">
      <c r="D439" s="8"/>
      <c r="G439" s="8"/>
      <c r="L439" s="8"/>
      <c r="N439" s="13"/>
    </row>
    <row r="440" spans="4:14" ht="13" customHeight="1">
      <c r="D440" s="8"/>
      <c r="G440" s="8"/>
      <c r="L440" s="8"/>
      <c r="N440" s="13"/>
    </row>
    <row r="441" spans="4:14" ht="13" customHeight="1">
      <c r="D441" s="8"/>
      <c r="G441" s="8"/>
      <c r="L441" s="8"/>
      <c r="N441" s="13"/>
    </row>
    <row r="442" spans="4:14" ht="13" customHeight="1">
      <c r="D442" s="8"/>
      <c r="G442" s="8"/>
      <c r="L442" s="8"/>
      <c r="N442" s="13"/>
    </row>
    <row r="443" spans="4:14" ht="13" customHeight="1">
      <c r="D443" s="8"/>
      <c r="G443" s="8"/>
      <c r="L443" s="8"/>
      <c r="N443" s="13"/>
    </row>
    <row r="444" spans="4:14" ht="13" customHeight="1">
      <c r="D444" s="8"/>
      <c r="G444" s="8"/>
      <c r="L444" s="8"/>
      <c r="N444" s="13"/>
    </row>
    <row r="445" spans="4:14" ht="13" customHeight="1">
      <c r="D445" s="8"/>
      <c r="G445" s="8"/>
      <c r="L445" s="8"/>
      <c r="N445" s="13"/>
    </row>
    <row r="446" spans="4:14" ht="13" customHeight="1">
      <c r="D446" s="8"/>
      <c r="G446" s="8"/>
      <c r="L446" s="8"/>
      <c r="N446" s="13"/>
    </row>
    <row r="447" spans="4:14" ht="13" customHeight="1">
      <c r="D447" s="8"/>
      <c r="G447" s="8"/>
      <c r="L447" s="8"/>
      <c r="N447" s="13"/>
    </row>
    <row r="448" spans="4:14" ht="13" customHeight="1">
      <c r="D448" s="8"/>
      <c r="G448" s="8"/>
      <c r="L448" s="8"/>
      <c r="N448" s="13"/>
    </row>
    <row r="449" spans="4:14" ht="13" customHeight="1">
      <c r="D449" s="8"/>
      <c r="G449" s="8"/>
      <c r="L449" s="8"/>
      <c r="N449" s="13"/>
    </row>
    <row r="450" spans="4:14" ht="13" customHeight="1">
      <c r="D450" s="8"/>
      <c r="G450" s="8"/>
      <c r="L450" s="8"/>
      <c r="N450" s="13"/>
    </row>
    <row r="451" spans="4:14" ht="13" customHeight="1">
      <c r="D451" s="8"/>
      <c r="G451" s="8"/>
      <c r="L451" s="8"/>
      <c r="N451" s="13"/>
    </row>
    <row r="452" spans="4:14" ht="13" customHeight="1">
      <c r="D452" s="8"/>
      <c r="G452" s="8"/>
      <c r="L452" s="8"/>
      <c r="N452" s="13"/>
    </row>
    <row r="453" spans="4:14" ht="13" customHeight="1">
      <c r="D453" s="8"/>
      <c r="G453" s="8"/>
      <c r="L453" s="8"/>
      <c r="N453" s="13"/>
    </row>
    <row r="454" spans="4:14" ht="13" customHeight="1">
      <c r="D454" s="8"/>
      <c r="G454" s="8"/>
      <c r="L454" s="8"/>
      <c r="N454" s="13"/>
    </row>
    <row r="455" spans="4:14" ht="13" customHeight="1">
      <c r="D455" s="8"/>
      <c r="G455" s="8"/>
      <c r="L455" s="8"/>
      <c r="N455" s="13"/>
    </row>
    <row r="456" spans="4:14" ht="13" customHeight="1">
      <c r="D456" s="8"/>
      <c r="G456" s="8"/>
      <c r="L456" s="8"/>
      <c r="N456" s="13"/>
    </row>
    <row r="457" spans="4:14" ht="13" customHeight="1">
      <c r="D457" s="8"/>
      <c r="G457" s="8"/>
      <c r="L457" s="8"/>
      <c r="N457" s="13"/>
    </row>
    <row r="458" spans="4:14" ht="13" customHeight="1">
      <c r="D458" s="8"/>
      <c r="G458" s="8"/>
      <c r="L458" s="8"/>
      <c r="N458" s="13"/>
    </row>
    <row r="459" spans="4:14" ht="13" customHeight="1">
      <c r="D459" s="8"/>
      <c r="G459" s="8"/>
      <c r="L459" s="8"/>
      <c r="N459" s="13"/>
    </row>
    <row r="460" spans="4:14" ht="13" customHeight="1">
      <c r="D460" s="8"/>
      <c r="G460" s="8"/>
      <c r="L460" s="8"/>
      <c r="N460" s="13"/>
    </row>
    <row r="461" spans="4:14" ht="13" customHeight="1">
      <c r="D461" s="8"/>
      <c r="G461" s="8"/>
      <c r="L461" s="8"/>
      <c r="N461" s="13"/>
    </row>
    <row r="462" spans="4:14" ht="13" customHeight="1">
      <c r="D462" s="8"/>
      <c r="G462" s="8"/>
      <c r="L462" s="8"/>
      <c r="N462" s="13"/>
    </row>
    <row r="463" spans="4:14" ht="13" customHeight="1">
      <c r="D463" s="8"/>
      <c r="G463" s="8"/>
      <c r="L463" s="8"/>
      <c r="N463" s="13"/>
    </row>
    <row r="464" spans="4:14" ht="13" customHeight="1">
      <c r="D464" s="8"/>
      <c r="G464" s="8"/>
      <c r="L464" s="8"/>
      <c r="N464" s="13"/>
    </row>
    <row r="465" spans="4:14" ht="13" customHeight="1">
      <c r="D465" s="8"/>
      <c r="G465" s="8"/>
      <c r="L465" s="8"/>
      <c r="N465" s="13"/>
    </row>
    <row r="466" spans="4:14" ht="13" customHeight="1">
      <c r="D466" s="8"/>
      <c r="G466" s="8"/>
      <c r="L466" s="8"/>
      <c r="N466" s="13"/>
    </row>
    <row r="467" spans="4:14" ht="13" customHeight="1">
      <c r="D467" s="8"/>
      <c r="G467" s="8"/>
      <c r="L467" s="8"/>
      <c r="N467" s="13"/>
    </row>
    <row r="468" spans="4:14" ht="13" customHeight="1">
      <c r="D468" s="8"/>
      <c r="G468" s="8"/>
      <c r="L468" s="8"/>
      <c r="N468" s="13"/>
    </row>
    <row r="469" spans="4:14" ht="13" customHeight="1">
      <c r="D469" s="8"/>
      <c r="G469" s="8"/>
      <c r="L469" s="8"/>
      <c r="N469" s="13"/>
    </row>
    <row r="470" spans="4:14" ht="13" customHeight="1">
      <c r="D470" s="8"/>
      <c r="G470" s="8"/>
      <c r="L470" s="8"/>
      <c r="N470" s="13"/>
    </row>
    <row r="471" spans="4:14" ht="13" customHeight="1">
      <c r="D471" s="8"/>
      <c r="G471" s="8"/>
      <c r="L471" s="8"/>
      <c r="N471" s="13"/>
    </row>
    <row r="472" spans="4:14" ht="13" customHeight="1">
      <c r="D472" s="8"/>
      <c r="G472" s="8"/>
      <c r="L472" s="8"/>
      <c r="N472" s="13"/>
    </row>
    <row r="473" spans="4:14" ht="13" customHeight="1">
      <c r="D473" s="8"/>
      <c r="G473" s="8"/>
      <c r="L473" s="8"/>
      <c r="N473" s="13"/>
    </row>
    <row r="474" spans="4:14" ht="13" customHeight="1">
      <c r="D474" s="8"/>
      <c r="G474" s="8"/>
      <c r="L474" s="8"/>
      <c r="N474" s="13"/>
    </row>
    <row r="475" spans="4:14" ht="13" customHeight="1">
      <c r="D475" s="8"/>
      <c r="G475" s="8"/>
      <c r="L475" s="8"/>
      <c r="N475" s="13"/>
    </row>
    <row r="476" spans="4:14" ht="13" customHeight="1">
      <c r="D476" s="8"/>
      <c r="G476" s="8"/>
      <c r="L476" s="8"/>
      <c r="N476" s="13"/>
    </row>
    <row r="477" spans="4:14" ht="13" customHeight="1">
      <c r="D477" s="8"/>
      <c r="G477" s="8"/>
      <c r="L477" s="8"/>
      <c r="N477" s="13"/>
    </row>
    <row r="478" spans="4:14" ht="13" customHeight="1">
      <c r="D478" s="8"/>
      <c r="G478" s="8"/>
      <c r="L478" s="8"/>
      <c r="N478" s="13"/>
    </row>
    <row r="479" spans="4:14" ht="13" customHeight="1">
      <c r="D479" s="8"/>
      <c r="G479" s="8"/>
      <c r="L479" s="8"/>
      <c r="N479" s="13"/>
    </row>
    <row r="480" spans="4:14" ht="13" customHeight="1">
      <c r="D480" s="8"/>
      <c r="G480" s="8"/>
      <c r="L480" s="8"/>
      <c r="N480" s="13"/>
    </row>
    <row r="481" spans="4:14" ht="13" customHeight="1">
      <c r="D481" s="8"/>
      <c r="G481" s="8"/>
      <c r="L481" s="8"/>
      <c r="N481" s="13"/>
    </row>
    <row r="482" spans="4:14" ht="13" customHeight="1">
      <c r="D482" s="8"/>
      <c r="G482" s="8"/>
      <c r="L482" s="8"/>
      <c r="N482" s="13"/>
    </row>
    <row r="483" spans="4:14" ht="13" customHeight="1">
      <c r="D483" s="8"/>
      <c r="G483" s="8"/>
      <c r="L483" s="8"/>
      <c r="N483" s="13"/>
    </row>
    <row r="484" spans="4:14" ht="13" customHeight="1">
      <c r="D484" s="8"/>
      <c r="G484" s="8"/>
      <c r="L484" s="8"/>
      <c r="N484" s="13"/>
    </row>
    <row r="485" spans="4:14" ht="13" customHeight="1">
      <c r="D485" s="8"/>
      <c r="G485" s="8"/>
      <c r="L485" s="8"/>
      <c r="N485" s="13"/>
    </row>
    <row r="486" spans="4:14" ht="13" customHeight="1">
      <c r="D486" s="8"/>
      <c r="G486" s="8"/>
      <c r="L486" s="8"/>
      <c r="N486" s="13"/>
    </row>
    <row r="487" spans="4:14" ht="13" customHeight="1">
      <c r="D487" s="8"/>
      <c r="G487" s="8"/>
      <c r="L487" s="8"/>
      <c r="N487" s="13"/>
    </row>
    <row r="488" spans="4:14" ht="13" customHeight="1">
      <c r="D488" s="8"/>
      <c r="G488" s="8"/>
      <c r="L488" s="8"/>
      <c r="N488" s="13"/>
    </row>
    <row r="489" spans="4:14" ht="13" customHeight="1">
      <c r="D489" s="8"/>
      <c r="G489" s="8"/>
      <c r="L489" s="8"/>
      <c r="N489" s="13"/>
    </row>
    <row r="490" spans="4:14" ht="13" customHeight="1">
      <c r="D490" s="8"/>
      <c r="G490" s="8"/>
      <c r="L490" s="8"/>
      <c r="N490" s="13"/>
    </row>
    <row r="491" spans="4:14" ht="13" customHeight="1">
      <c r="D491" s="8"/>
      <c r="G491" s="8"/>
      <c r="L491" s="8"/>
      <c r="N491" s="13"/>
    </row>
    <row r="492" spans="4:14" ht="13" customHeight="1">
      <c r="D492" s="8"/>
      <c r="G492" s="8"/>
      <c r="L492" s="8"/>
      <c r="N492" s="13"/>
    </row>
    <row r="493" spans="4:14" ht="13" customHeight="1">
      <c r="D493" s="8"/>
      <c r="G493" s="8"/>
      <c r="L493" s="8"/>
      <c r="N493" s="13"/>
    </row>
    <row r="494" spans="4:14" ht="13" customHeight="1">
      <c r="D494" s="8"/>
      <c r="G494" s="8"/>
      <c r="L494" s="8"/>
      <c r="N494" s="13"/>
    </row>
    <row r="495" spans="4:14" ht="13" customHeight="1">
      <c r="D495" s="8"/>
      <c r="G495" s="8"/>
      <c r="L495" s="8"/>
      <c r="N495" s="13"/>
    </row>
    <row r="496" spans="4:14" ht="13" customHeight="1">
      <c r="D496" s="8"/>
      <c r="G496" s="8"/>
      <c r="L496" s="8"/>
      <c r="N496" s="13"/>
    </row>
    <row r="497" spans="4:14" ht="13" customHeight="1">
      <c r="D497" s="8"/>
      <c r="G497" s="8"/>
      <c r="L497" s="8"/>
      <c r="N497" s="13"/>
    </row>
    <row r="498" spans="4:14" ht="13" customHeight="1">
      <c r="D498" s="8"/>
      <c r="G498" s="8"/>
      <c r="L498" s="8"/>
      <c r="N498" s="13"/>
    </row>
    <row r="499" spans="4:14" ht="13" customHeight="1">
      <c r="D499" s="8"/>
      <c r="G499" s="8"/>
      <c r="L499" s="8"/>
      <c r="N499" s="13"/>
    </row>
    <row r="500" spans="4:14" ht="13" customHeight="1">
      <c r="D500" s="8"/>
      <c r="G500" s="8"/>
      <c r="L500" s="8"/>
      <c r="N500" s="13"/>
    </row>
    <row r="501" spans="4:14" ht="13" customHeight="1">
      <c r="D501" s="8"/>
      <c r="G501" s="8"/>
      <c r="L501" s="8"/>
      <c r="N501" s="13"/>
    </row>
    <row r="502" spans="4:14" ht="13" customHeight="1">
      <c r="D502" s="8"/>
      <c r="G502" s="8"/>
      <c r="L502" s="8"/>
      <c r="N502" s="13"/>
    </row>
    <row r="503" spans="4:14" ht="13" customHeight="1">
      <c r="D503" s="8"/>
      <c r="G503" s="8"/>
      <c r="L503" s="8"/>
      <c r="N503" s="13"/>
    </row>
    <row r="504" spans="4:14" ht="13" customHeight="1">
      <c r="D504" s="8"/>
      <c r="G504" s="8"/>
      <c r="L504" s="8"/>
      <c r="N504" s="13"/>
    </row>
    <row r="505" spans="4:14" ht="13" customHeight="1">
      <c r="D505" s="8"/>
      <c r="G505" s="8"/>
      <c r="L505" s="8"/>
      <c r="N505" s="13"/>
    </row>
    <row r="506" spans="4:14" ht="13" customHeight="1">
      <c r="D506" s="8"/>
      <c r="G506" s="8"/>
      <c r="L506" s="8"/>
      <c r="N506" s="13"/>
    </row>
    <row r="507" spans="4:14" ht="13" customHeight="1">
      <c r="D507" s="8"/>
      <c r="G507" s="8"/>
      <c r="L507" s="8"/>
      <c r="N507" s="13"/>
    </row>
    <row r="508" spans="4:14" ht="13" customHeight="1">
      <c r="D508" s="8"/>
      <c r="G508" s="8"/>
      <c r="L508" s="8"/>
      <c r="N508" s="13"/>
    </row>
    <row r="509" spans="4:14" ht="13" customHeight="1">
      <c r="D509" s="8"/>
      <c r="G509" s="8"/>
      <c r="L509" s="8"/>
      <c r="N509" s="13"/>
    </row>
    <row r="510" spans="4:14" ht="13" customHeight="1">
      <c r="D510" s="8"/>
      <c r="G510" s="8"/>
      <c r="L510" s="8"/>
      <c r="N510" s="13"/>
    </row>
    <row r="511" spans="4:14" ht="13" customHeight="1">
      <c r="D511" s="8"/>
      <c r="G511" s="8"/>
      <c r="L511" s="8"/>
      <c r="N511" s="13"/>
    </row>
    <row r="512" spans="4:14" ht="13" customHeight="1">
      <c r="D512" s="8"/>
      <c r="G512" s="8"/>
      <c r="L512" s="8"/>
      <c r="N512" s="13"/>
    </row>
    <row r="513" spans="4:14" ht="13" customHeight="1">
      <c r="D513" s="8"/>
      <c r="G513" s="8"/>
      <c r="L513" s="8"/>
      <c r="N513" s="13"/>
    </row>
    <row r="514" spans="4:14" ht="13" customHeight="1">
      <c r="D514" s="8"/>
      <c r="G514" s="8"/>
      <c r="L514" s="8"/>
      <c r="N514" s="13"/>
    </row>
    <row r="515" spans="4:14" ht="13" customHeight="1">
      <c r="D515" s="8"/>
      <c r="G515" s="8"/>
      <c r="L515" s="8"/>
      <c r="N515" s="13"/>
    </row>
    <row r="516" spans="4:14" ht="13" customHeight="1">
      <c r="D516" s="8"/>
      <c r="G516" s="8"/>
      <c r="L516" s="8"/>
      <c r="N516" s="13"/>
    </row>
    <row r="517" spans="4:14" ht="13" customHeight="1">
      <c r="D517" s="8"/>
      <c r="G517" s="8"/>
      <c r="L517" s="8"/>
      <c r="N517" s="13"/>
    </row>
    <row r="518" spans="4:14" ht="13" customHeight="1">
      <c r="D518" s="8"/>
      <c r="G518" s="8"/>
      <c r="L518" s="8"/>
      <c r="N518" s="13"/>
    </row>
    <row r="519" spans="4:14" ht="13" customHeight="1">
      <c r="D519" s="8"/>
      <c r="G519" s="8"/>
      <c r="L519" s="8"/>
      <c r="N519" s="13"/>
    </row>
    <row r="520" spans="4:14" ht="13" customHeight="1">
      <c r="D520" s="8"/>
      <c r="G520" s="8"/>
      <c r="L520" s="8"/>
      <c r="N520" s="13"/>
    </row>
    <row r="521" spans="4:14" ht="13" customHeight="1">
      <c r="D521" s="8"/>
      <c r="G521" s="8"/>
      <c r="L521" s="8"/>
      <c r="N521" s="13"/>
    </row>
    <row r="522" spans="4:14" ht="13" customHeight="1">
      <c r="D522" s="8"/>
      <c r="G522" s="8"/>
      <c r="L522" s="8"/>
      <c r="N522" s="13"/>
    </row>
    <row r="523" spans="4:14" ht="13" customHeight="1">
      <c r="D523" s="8"/>
      <c r="G523" s="8"/>
      <c r="L523" s="8"/>
      <c r="N523" s="13"/>
    </row>
    <row r="524" spans="4:14" ht="13" customHeight="1">
      <c r="D524" s="8"/>
      <c r="G524" s="8"/>
      <c r="L524" s="8"/>
      <c r="N524" s="13"/>
    </row>
    <row r="525" spans="4:14" ht="13" customHeight="1">
      <c r="D525" s="8"/>
      <c r="G525" s="8"/>
      <c r="L525" s="8"/>
      <c r="N525" s="13"/>
    </row>
    <row r="526" spans="4:14" ht="13" customHeight="1">
      <c r="D526" s="8"/>
      <c r="G526" s="8"/>
      <c r="L526" s="8"/>
      <c r="N526" s="13"/>
    </row>
    <row r="527" spans="4:14" ht="13" customHeight="1">
      <c r="D527" s="8"/>
      <c r="G527" s="8"/>
      <c r="L527" s="8"/>
      <c r="N527" s="13"/>
    </row>
    <row r="528" spans="4:14" ht="13" customHeight="1">
      <c r="D528" s="8"/>
      <c r="G528" s="8"/>
      <c r="L528" s="8"/>
      <c r="N528" s="13"/>
    </row>
    <row r="529" spans="4:14" ht="13" customHeight="1">
      <c r="D529" s="8"/>
      <c r="G529" s="8"/>
      <c r="L529" s="8"/>
      <c r="N529" s="13"/>
    </row>
    <row r="530" spans="4:14" ht="13" customHeight="1">
      <c r="D530" s="8"/>
      <c r="G530" s="8"/>
      <c r="L530" s="8"/>
      <c r="N530" s="13"/>
    </row>
    <row r="531" spans="4:14" ht="13" customHeight="1">
      <c r="D531" s="8"/>
      <c r="G531" s="8"/>
      <c r="L531" s="8"/>
      <c r="N531" s="13"/>
    </row>
    <row r="532" spans="4:14" ht="13" customHeight="1">
      <c r="D532" s="8"/>
      <c r="G532" s="8"/>
      <c r="L532" s="8"/>
      <c r="N532" s="13"/>
    </row>
    <row r="533" spans="4:14" ht="13" customHeight="1">
      <c r="D533" s="8"/>
      <c r="G533" s="8"/>
      <c r="L533" s="8"/>
      <c r="N533" s="13"/>
    </row>
    <row r="534" spans="4:14" ht="13" customHeight="1">
      <c r="D534" s="8"/>
      <c r="G534" s="8"/>
      <c r="L534" s="8"/>
      <c r="N534" s="13"/>
    </row>
    <row r="535" spans="4:14" ht="13" customHeight="1">
      <c r="D535" s="8"/>
      <c r="G535" s="8"/>
      <c r="L535" s="8"/>
      <c r="N535" s="13"/>
    </row>
    <row r="536" spans="4:14" ht="13" customHeight="1">
      <c r="D536" s="8"/>
      <c r="G536" s="8"/>
      <c r="L536" s="8"/>
      <c r="N536" s="13"/>
    </row>
    <row r="537" spans="4:14" ht="13" customHeight="1">
      <c r="D537" s="8"/>
      <c r="G537" s="8"/>
      <c r="L537" s="8"/>
      <c r="N537" s="13"/>
    </row>
    <row r="538" spans="4:14" ht="13" customHeight="1">
      <c r="D538" s="8"/>
      <c r="G538" s="8"/>
      <c r="L538" s="8"/>
      <c r="N538" s="13"/>
    </row>
    <row r="539" spans="4:14" ht="13" customHeight="1">
      <c r="D539" s="8"/>
      <c r="G539" s="8"/>
      <c r="L539" s="8"/>
      <c r="N539" s="13"/>
    </row>
    <row r="540" spans="4:14" ht="13" customHeight="1">
      <c r="D540" s="8"/>
      <c r="G540" s="8"/>
      <c r="L540" s="8"/>
      <c r="N540" s="13"/>
    </row>
    <row r="541" spans="4:14" ht="13" customHeight="1">
      <c r="D541" s="8"/>
      <c r="G541" s="8"/>
      <c r="L541" s="8"/>
      <c r="N541" s="13"/>
    </row>
    <row r="542" spans="4:14" ht="13" customHeight="1">
      <c r="D542" s="8"/>
      <c r="G542" s="8"/>
      <c r="L542" s="8"/>
      <c r="N542" s="13"/>
    </row>
    <row r="543" spans="4:14" ht="13" customHeight="1">
      <c r="D543" s="8"/>
      <c r="G543" s="8"/>
      <c r="L543" s="8"/>
      <c r="N543" s="13"/>
    </row>
    <row r="544" spans="4:14" ht="13" customHeight="1">
      <c r="D544" s="8"/>
      <c r="G544" s="8"/>
      <c r="L544" s="8"/>
      <c r="N544" s="13"/>
    </row>
    <row r="545" spans="4:14" ht="13" customHeight="1">
      <c r="D545" s="8"/>
      <c r="G545" s="8"/>
      <c r="L545" s="8"/>
      <c r="N545" s="13"/>
    </row>
    <row r="546" spans="4:14" ht="13" customHeight="1">
      <c r="D546" s="8"/>
      <c r="G546" s="8"/>
      <c r="L546" s="8"/>
      <c r="N546" s="13"/>
    </row>
    <row r="547" spans="4:14" ht="13" customHeight="1">
      <c r="D547" s="8"/>
      <c r="G547" s="8"/>
      <c r="L547" s="8"/>
      <c r="N547" s="13"/>
    </row>
    <row r="548" spans="4:14" ht="13" customHeight="1">
      <c r="D548" s="8"/>
      <c r="G548" s="8"/>
      <c r="L548" s="8"/>
      <c r="N548" s="13"/>
    </row>
    <row r="549" spans="4:14" ht="13" customHeight="1">
      <c r="D549" s="8"/>
      <c r="G549" s="8"/>
      <c r="L549" s="8"/>
      <c r="N549" s="13"/>
    </row>
    <row r="550" spans="4:14" ht="13" customHeight="1">
      <c r="D550" s="8"/>
      <c r="G550" s="8"/>
      <c r="L550" s="8"/>
      <c r="N550" s="13"/>
    </row>
    <row r="551" spans="4:14" ht="13" customHeight="1">
      <c r="D551" s="8"/>
      <c r="G551" s="8"/>
      <c r="L551" s="8"/>
      <c r="N551" s="13"/>
    </row>
    <row r="552" spans="4:14" ht="13" customHeight="1">
      <c r="D552" s="8"/>
      <c r="G552" s="8"/>
      <c r="L552" s="8"/>
      <c r="N552" s="13"/>
    </row>
    <row r="553" spans="4:14" ht="13" customHeight="1">
      <c r="D553" s="8"/>
      <c r="G553" s="8"/>
      <c r="L553" s="8"/>
      <c r="N553" s="13"/>
    </row>
    <row r="554" spans="4:14" ht="13" customHeight="1">
      <c r="D554" s="8"/>
      <c r="G554" s="8"/>
      <c r="L554" s="8"/>
      <c r="N554" s="13"/>
    </row>
    <row r="555" spans="4:14" ht="13" customHeight="1">
      <c r="D555" s="8"/>
      <c r="G555" s="8"/>
      <c r="L555" s="8"/>
      <c r="N555" s="13"/>
    </row>
    <row r="556" spans="4:14" ht="13" customHeight="1">
      <c r="D556" s="8"/>
      <c r="G556" s="8"/>
      <c r="L556" s="8"/>
      <c r="N556" s="13"/>
    </row>
    <row r="557" spans="4:14" ht="13" customHeight="1">
      <c r="D557" s="8"/>
      <c r="G557" s="8"/>
      <c r="L557" s="8"/>
      <c r="N557" s="13"/>
    </row>
    <row r="558" spans="4:14" ht="13" customHeight="1">
      <c r="D558" s="8"/>
      <c r="G558" s="8"/>
      <c r="L558" s="8"/>
      <c r="N558" s="13"/>
    </row>
    <row r="559" spans="4:14" ht="13" customHeight="1">
      <c r="D559" s="8"/>
      <c r="G559" s="8"/>
      <c r="L559" s="8"/>
      <c r="N559" s="13"/>
    </row>
    <row r="560" spans="4:14" ht="13" customHeight="1">
      <c r="D560" s="8"/>
      <c r="G560" s="8"/>
      <c r="L560" s="8"/>
      <c r="N560" s="13"/>
    </row>
    <row r="561" spans="4:14" ht="13" customHeight="1">
      <c r="D561" s="8"/>
      <c r="G561" s="8"/>
      <c r="L561" s="8"/>
      <c r="N561" s="13"/>
    </row>
    <row r="562" spans="4:14" ht="13" customHeight="1">
      <c r="D562" s="8"/>
      <c r="G562" s="8"/>
      <c r="L562" s="8"/>
      <c r="N562" s="13"/>
    </row>
    <row r="563" spans="4:14" ht="13" customHeight="1">
      <c r="D563" s="8"/>
      <c r="G563" s="8"/>
      <c r="L563" s="8"/>
      <c r="N563" s="13"/>
    </row>
    <row r="564" spans="4:14" ht="13" customHeight="1">
      <c r="D564" s="8"/>
      <c r="G564" s="8"/>
      <c r="L564" s="8"/>
      <c r="N564" s="13"/>
    </row>
    <row r="565" spans="4:14" ht="13" customHeight="1">
      <c r="D565" s="8"/>
      <c r="G565" s="8"/>
      <c r="L565" s="8"/>
      <c r="N565" s="13"/>
    </row>
    <row r="566" spans="4:14" ht="13" customHeight="1">
      <c r="D566" s="8"/>
      <c r="G566" s="8"/>
      <c r="L566" s="8"/>
      <c r="N566" s="13"/>
    </row>
    <row r="567" spans="4:14" ht="13" customHeight="1">
      <c r="D567" s="8"/>
      <c r="G567" s="8"/>
      <c r="L567" s="8"/>
      <c r="N567" s="13"/>
    </row>
    <row r="568" spans="4:14" ht="13" customHeight="1">
      <c r="D568" s="8"/>
      <c r="G568" s="8"/>
      <c r="L568" s="8"/>
      <c r="N56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"/>
  <sheetViews>
    <sheetView tabSelected="1" workbookViewId="0">
      <selection sqref="A1:O15"/>
    </sheetView>
  </sheetViews>
  <sheetFormatPr baseColWidth="10" defaultColWidth="12.6640625" defaultRowHeight="15.75" customHeight="1"/>
  <cols>
    <col min="1" max="1" width="23.1640625" customWidth="1"/>
    <col min="2" max="4" width="19.5" customWidth="1"/>
    <col min="11" max="11" width="17.1640625" customWidth="1"/>
  </cols>
  <sheetData>
    <row r="1" spans="1:15" ht="109" customHeight="1">
      <c r="A1" s="1" t="s">
        <v>342</v>
      </c>
      <c r="B1" s="1" t="s">
        <v>343</v>
      </c>
      <c r="C1" s="1" t="s">
        <v>708</v>
      </c>
      <c r="D1" s="1" t="s">
        <v>709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673</v>
      </c>
      <c r="L1" s="1" t="s">
        <v>672</v>
      </c>
      <c r="M1" s="1" t="s">
        <v>248</v>
      </c>
      <c r="N1" s="1" t="s">
        <v>675</v>
      </c>
      <c r="O1" s="1"/>
    </row>
    <row r="2" spans="1:15" ht="15.75" customHeight="1">
      <c r="A2" s="7" t="s">
        <v>351</v>
      </c>
      <c r="B2" s="9">
        <v>9000</v>
      </c>
      <c r="C2" s="11" t="s">
        <v>701</v>
      </c>
      <c r="D2" s="30">
        <f>2248</f>
        <v>2248</v>
      </c>
      <c r="E2" s="7" t="s">
        <v>353</v>
      </c>
      <c r="F2" s="7">
        <v>2000</v>
      </c>
      <c r="G2" s="7" t="s">
        <v>353</v>
      </c>
      <c r="H2" s="7">
        <v>10000</v>
      </c>
      <c r="I2" s="7" t="s">
        <v>670</v>
      </c>
      <c r="J2" s="7">
        <v>10000</v>
      </c>
      <c r="K2" s="7" t="s">
        <v>131</v>
      </c>
      <c r="L2" s="24">
        <v>4142</v>
      </c>
      <c r="M2" s="7" t="s">
        <v>353</v>
      </c>
      <c r="N2" s="24">
        <v>13025</v>
      </c>
      <c r="O2" s="11"/>
    </row>
    <row r="3" spans="1:15" ht="15.75" customHeight="1">
      <c r="A3" s="7" t="s">
        <v>354</v>
      </c>
      <c r="B3" s="9">
        <v>14000</v>
      </c>
      <c r="C3" s="11" t="s">
        <v>702</v>
      </c>
      <c r="D3" s="30">
        <f>4588</f>
        <v>4588</v>
      </c>
      <c r="E3" s="7" t="s">
        <v>355</v>
      </c>
      <c r="F3" s="7">
        <v>0</v>
      </c>
      <c r="G3" s="7" t="s">
        <v>355</v>
      </c>
      <c r="H3" s="7">
        <v>0</v>
      </c>
      <c r="I3" s="7" t="s">
        <v>355</v>
      </c>
      <c r="J3" s="7">
        <v>0</v>
      </c>
      <c r="K3" s="7" t="s">
        <v>232</v>
      </c>
      <c r="L3" s="24">
        <v>12977</v>
      </c>
      <c r="M3" s="7" t="s">
        <v>674</v>
      </c>
      <c r="N3" s="24">
        <v>0</v>
      </c>
      <c r="O3" s="11"/>
    </row>
    <row r="4" spans="1:15" ht="15.75" customHeight="1">
      <c r="A4" s="7" t="s">
        <v>356</v>
      </c>
      <c r="B4" s="9">
        <v>12000</v>
      </c>
      <c r="C4" s="9"/>
      <c r="D4" s="30"/>
      <c r="I4" s="11" t="s">
        <v>671</v>
      </c>
      <c r="J4">
        <v>12000</v>
      </c>
      <c r="K4" s="7" t="s">
        <v>268</v>
      </c>
      <c r="L4" s="24">
        <v>3531</v>
      </c>
      <c r="M4" s="7"/>
      <c r="N4" s="24"/>
      <c r="O4" s="11"/>
    </row>
    <row r="5" spans="1:15" ht="15.75" customHeight="1">
      <c r="A5" s="7" t="s">
        <v>357</v>
      </c>
      <c r="B5" s="9">
        <v>15000</v>
      </c>
      <c r="I5" s="11" t="s">
        <v>669</v>
      </c>
      <c r="J5">
        <v>15000</v>
      </c>
      <c r="K5" s="7" t="s">
        <v>306</v>
      </c>
      <c r="L5" s="24">
        <v>12977</v>
      </c>
      <c r="M5" s="11"/>
      <c r="N5" s="26"/>
    </row>
    <row r="6" spans="1:15" ht="15.75" customHeight="1">
      <c r="A6" s="7" t="s">
        <v>425</v>
      </c>
      <c r="B6" s="9">
        <v>4000</v>
      </c>
      <c r="C6" s="9"/>
      <c r="D6" s="9"/>
      <c r="K6" s="7" t="s">
        <v>329</v>
      </c>
      <c r="L6" s="24">
        <v>12977</v>
      </c>
      <c r="M6" s="11"/>
      <c r="N6" s="26"/>
    </row>
    <row r="7" spans="1:15" ht="15.75" customHeight="1">
      <c r="A7" s="7" t="s">
        <v>426</v>
      </c>
      <c r="B7" s="9">
        <v>6000</v>
      </c>
      <c r="C7" s="9"/>
      <c r="D7" s="9"/>
      <c r="K7" s="11" t="s">
        <v>498</v>
      </c>
      <c r="L7" s="26" t="s">
        <v>500</v>
      </c>
    </row>
    <row r="8" spans="1:15" ht="15.75" customHeight="1">
      <c r="A8" s="7" t="s">
        <v>427</v>
      </c>
      <c r="B8" s="9">
        <v>6000</v>
      </c>
      <c r="C8" s="9"/>
      <c r="D8" s="9"/>
      <c r="K8" s="7" t="s">
        <v>355</v>
      </c>
      <c r="L8" s="24">
        <v>0</v>
      </c>
    </row>
    <row r="9" spans="1:15" ht="15.75" customHeight="1">
      <c r="A9" s="7" t="s">
        <v>428</v>
      </c>
      <c r="B9" s="9">
        <v>8500</v>
      </c>
      <c r="C9" s="9"/>
      <c r="D9" s="9"/>
    </row>
    <row r="10" spans="1:15" ht="15.75" customHeight="1">
      <c r="A10" s="7" t="s">
        <v>355</v>
      </c>
      <c r="B10" s="9">
        <v>0</v>
      </c>
      <c r="C10" s="9"/>
      <c r="D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topLeftCell="A22" workbookViewId="0">
      <selection activeCell="K26" sqref="K26"/>
    </sheetView>
  </sheetViews>
  <sheetFormatPr baseColWidth="10" defaultColWidth="12.6640625" defaultRowHeight="15.75" customHeight="1"/>
  <cols>
    <col min="1" max="1" width="29.1640625" customWidth="1"/>
    <col min="2" max="2" width="38.6640625" customWidth="1"/>
    <col min="3" max="3" width="25.1640625" customWidth="1"/>
  </cols>
  <sheetData>
    <row r="1" spans="1:25" ht="15.75" customHeight="1">
      <c r="A1" s="6" t="s">
        <v>3</v>
      </c>
      <c r="B1" s="6" t="s">
        <v>358</v>
      </c>
      <c r="C1" s="6" t="s">
        <v>14</v>
      </c>
      <c r="D1" s="6" t="s">
        <v>359</v>
      </c>
      <c r="E1" s="14"/>
      <c r="F1" s="28"/>
      <c r="G1" s="28"/>
      <c r="H1" s="28"/>
      <c r="I1" s="28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t="s">
        <v>518</v>
      </c>
      <c r="B2" t="s">
        <v>600</v>
      </c>
      <c r="C2" t="s">
        <v>49</v>
      </c>
      <c r="D2" t="s">
        <v>649</v>
      </c>
      <c r="E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t="s">
        <v>566</v>
      </c>
      <c r="B3" t="s">
        <v>601</v>
      </c>
      <c r="C3" t="s">
        <v>558</v>
      </c>
      <c r="D3" t="s">
        <v>650</v>
      </c>
      <c r="E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t="s">
        <v>110</v>
      </c>
      <c r="B4" t="s">
        <v>602</v>
      </c>
      <c r="C4" t="s">
        <v>49</v>
      </c>
      <c r="D4" t="s">
        <v>651</v>
      </c>
      <c r="E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t="s">
        <v>256</v>
      </c>
      <c r="B5" t="s">
        <v>603</v>
      </c>
      <c r="C5" t="s">
        <v>604</v>
      </c>
      <c r="D5" t="s">
        <v>652</v>
      </c>
      <c r="E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t="s">
        <v>507</v>
      </c>
      <c r="B6" t="s">
        <v>605</v>
      </c>
      <c r="C6" t="s">
        <v>606</v>
      </c>
      <c r="D6" t="s">
        <v>653</v>
      </c>
      <c r="E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t="s">
        <v>510</v>
      </c>
      <c r="B7" t="s">
        <v>605</v>
      </c>
      <c r="C7" t="s">
        <v>606</v>
      </c>
      <c r="D7" t="s">
        <v>654</v>
      </c>
      <c r="E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t="s">
        <v>18</v>
      </c>
      <c r="B8" t="s">
        <v>607</v>
      </c>
      <c r="C8" t="s">
        <v>608</v>
      </c>
      <c r="D8" t="s">
        <v>655</v>
      </c>
      <c r="E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t="s">
        <v>243</v>
      </c>
      <c r="B9" t="s">
        <v>609</v>
      </c>
      <c r="C9" t="s">
        <v>606</v>
      </c>
      <c r="D9" t="s">
        <v>654</v>
      </c>
      <c r="E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t="s">
        <v>563</v>
      </c>
      <c r="B10" t="s">
        <v>601</v>
      </c>
      <c r="C10" t="s">
        <v>558</v>
      </c>
      <c r="D10" t="s">
        <v>654</v>
      </c>
      <c r="E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t="s">
        <v>311</v>
      </c>
      <c r="B11" t="s">
        <v>610</v>
      </c>
      <c r="C11" t="s">
        <v>606</v>
      </c>
      <c r="D11" t="s">
        <v>654</v>
      </c>
      <c r="E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t="s">
        <v>117</v>
      </c>
      <c r="B12" t="s">
        <v>602</v>
      </c>
      <c r="C12" t="s">
        <v>49</v>
      </c>
      <c r="D12" t="s">
        <v>656</v>
      </c>
      <c r="E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t="s">
        <v>271</v>
      </c>
      <c r="B13" t="s">
        <v>602</v>
      </c>
      <c r="C13" t="s">
        <v>606</v>
      </c>
      <c r="D13" t="s">
        <v>654</v>
      </c>
      <c r="E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t="s">
        <v>525</v>
      </c>
      <c r="B14" t="s">
        <v>611</v>
      </c>
      <c r="C14" t="s">
        <v>611</v>
      </c>
      <c r="D14" t="s">
        <v>654</v>
      </c>
      <c r="E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t="s">
        <v>183</v>
      </c>
      <c r="B15" t="s">
        <v>612</v>
      </c>
      <c r="C15" t="s">
        <v>371</v>
      </c>
      <c r="D15" t="s">
        <v>657</v>
      </c>
      <c r="E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t="s">
        <v>528</v>
      </c>
      <c r="B16" t="s">
        <v>613</v>
      </c>
      <c r="C16" t="s">
        <v>613</v>
      </c>
      <c r="D16" t="s">
        <v>654</v>
      </c>
      <c r="E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t="s">
        <v>533</v>
      </c>
      <c r="B17" t="s">
        <v>614</v>
      </c>
      <c r="C17" t="s">
        <v>614</v>
      </c>
      <c r="D17" t="s">
        <v>654</v>
      </c>
      <c r="E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t="s">
        <v>179</v>
      </c>
      <c r="B18" t="s">
        <v>615</v>
      </c>
      <c r="C18" t="s">
        <v>360</v>
      </c>
      <c r="D18" t="s">
        <v>658</v>
      </c>
      <c r="E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t="s">
        <v>114</v>
      </c>
      <c r="B19" t="s">
        <v>602</v>
      </c>
      <c r="C19" t="s">
        <v>49</v>
      </c>
      <c r="D19" t="s">
        <v>659</v>
      </c>
      <c r="E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t="s">
        <v>504</v>
      </c>
      <c r="B20" t="s">
        <v>605</v>
      </c>
      <c r="C20" t="s">
        <v>606</v>
      </c>
      <c r="D20" t="s">
        <v>659</v>
      </c>
      <c r="E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t="s">
        <v>479</v>
      </c>
      <c r="B21" t="s">
        <v>616</v>
      </c>
      <c r="C21" t="s">
        <v>617</v>
      </c>
      <c r="D21" t="s">
        <v>660</v>
      </c>
      <c r="E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t="s">
        <v>196</v>
      </c>
      <c r="B22" t="s">
        <v>618</v>
      </c>
      <c r="C22" t="s">
        <v>617</v>
      </c>
      <c r="D22" t="s">
        <v>660</v>
      </c>
      <c r="E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t="s">
        <v>538</v>
      </c>
      <c r="B23" t="s">
        <v>619</v>
      </c>
      <c r="C23" t="s">
        <v>619</v>
      </c>
      <c r="D23" t="s">
        <v>654</v>
      </c>
      <c r="E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t="s">
        <v>215</v>
      </c>
      <c r="B24" t="s">
        <v>620</v>
      </c>
      <c r="C24" t="s">
        <v>49</v>
      </c>
      <c r="D24" t="s">
        <v>654</v>
      </c>
      <c r="E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t="s">
        <v>219</v>
      </c>
      <c r="B25" t="s">
        <v>621</v>
      </c>
      <c r="C25" t="s">
        <v>622</v>
      </c>
      <c r="D25" t="s">
        <v>654</v>
      </c>
      <c r="E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t="s">
        <v>442</v>
      </c>
      <c r="B26" t="s">
        <v>623</v>
      </c>
      <c r="C26" t="s">
        <v>608</v>
      </c>
      <c r="D26" t="s">
        <v>654</v>
      </c>
      <c r="E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t="s">
        <v>544</v>
      </c>
      <c r="B27" t="s">
        <v>624</v>
      </c>
      <c r="C27" t="s">
        <v>624</v>
      </c>
      <c r="D27" t="s">
        <v>660</v>
      </c>
      <c r="E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t="s">
        <v>477</v>
      </c>
      <c r="B28" t="s">
        <v>625</v>
      </c>
      <c r="C28" t="s">
        <v>626</v>
      </c>
      <c r="D28" t="s">
        <v>661</v>
      </c>
      <c r="E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t="s">
        <v>542</v>
      </c>
      <c r="B29" t="s">
        <v>627</v>
      </c>
      <c r="C29" t="s">
        <v>543</v>
      </c>
      <c r="D29" t="s">
        <v>661</v>
      </c>
      <c r="E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t="s">
        <v>546</v>
      </c>
      <c r="B30" t="s">
        <v>628</v>
      </c>
      <c r="C30" t="s">
        <v>629</v>
      </c>
      <c r="D30" t="s">
        <v>661</v>
      </c>
      <c r="E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t="s">
        <v>483</v>
      </c>
      <c r="B31" t="s">
        <v>630</v>
      </c>
      <c r="C31" t="s">
        <v>622</v>
      </c>
      <c r="D31" t="s">
        <v>654</v>
      </c>
      <c r="E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t="s">
        <v>521</v>
      </c>
      <c r="B32" t="s">
        <v>631</v>
      </c>
      <c r="C32" t="s">
        <v>631</v>
      </c>
      <c r="D32" t="s">
        <v>654</v>
      </c>
      <c r="E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t="s">
        <v>548</v>
      </c>
      <c r="B33" t="s">
        <v>632</v>
      </c>
      <c r="C33" t="s">
        <v>549</v>
      </c>
      <c r="D33" t="s">
        <v>654</v>
      </c>
      <c r="E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t="s">
        <v>452</v>
      </c>
      <c r="B34" t="s">
        <v>633</v>
      </c>
      <c r="C34" t="s">
        <v>634</v>
      </c>
      <c r="D34" t="s">
        <v>654</v>
      </c>
      <c r="E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t="s">
        <v>142</v>
      </c>
      <c r="B35" t="s">
        <v>635</v>
      </c>
      <c r="C35" t="s">
        <v>636</v>
      </c>
      <c r="D35" t="s">
        <v>662</v>
      </c>
      <c r="E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t="s">
        <v>302</v>
      </c>
      <c r="B36" t="s">
        <v>637</v>
      </c>
      <c r="C36" t="s">
        <v>638</v>
      </c>
      <c r="D36" t="s">
        <v>663</v>
      </c>
      <c r="E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t="s">
        <v>488</v>
      </c>
      <c r="B37" t="s">
        <v>612</v>
      </c>
      <c r="C37" t="s">
        <v>639</v>
      </c>
      <c r="D37" t="s">
        <v>654</v>
      </c>
      <c r="E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t="s">
        <v>485</v>
      </c>
      <c r="B38" t="s">
        <v>611</v>
      </c>
      <c r="C38" t="s">
        <v>640</v>
      </c>
      <c r="D38" t="s">
        <v>654</v>
      </c>
      <c r="E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t="s">
        <v>550</v>
      </c>
      <c r="B39" t="s">
        <v>641</v>
      </c>
      <c r="C39" t="s">
        <v>641</v>
      </c>
      <c r="D39" t="s">
        <v>654</v>
      </c>
      <c r="E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t="s">
        <v>148</v>
      </c>
      <c r="B40" t="s">
        <v>642</v>
      </c>
      <c r="C40" t="s">
        <v>360</v>
      </c>
      <c r="D40" t="s">
        <v>654</v>
      </c>
      <c r="E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t="s">
        <v>202</v>
      </c>
      <c r="B41" s="11" t="s">
        <v>666</v>
      </c>
      <c r="C41" t="s">
        <v>643</v>
      </c>
      <c r="D41" t="s">
        <v>654</v>
      </c>
      <c r="E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t="s">
        <v>554</v>
      </c>
      <c r="B42" t="s">
        <v>644</v>
      </c>
      <c r="C42" t="s">
        <v>644</v>
      </c>
      <c r="D42" t="s">
        <v>663</v>
      </c>
      <c r="E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t="s">
        <v>45</v>
      </c>
      <c r="B43" t="s">
        <v>645</v>
      </c>
      <c r="C43" t="s">
        <v>49</v>
      </c>
      <c r="D43" t="s">
        <v>654</v>
      </c>
      <c r="E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t="s">
        <v>561</v>
      </c>
      <c r="B44" t="s">
        <v>601</v>
      </c>
      <c r="C44" t="s">
        <v>558</v>
      </c>
      <c r="D44" t="s">
        <v>654</v>
      </c>
      <c r="E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t="s">
        <v>40</v>
      </c>
      <c r="B45" s="11" t="s">
        <v>667</v>
      </c>
      <c r="C45" t="s">
        <v>646</v>
      </c>
      <c r="D45" t="s">
        <v>664</v>
      </c>
      <c r="E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t="s">
        <v>465</v>
      </c>
      <c r="B46" t="s">
        <v>647</v>
      </c>
      <c r="C46" t="s">
        <v>648</v>
      </c>
      <c r="D46" t="s">
        <v>665</v>
      </c>
      <c r="E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5"/>
      <c r="B47" s="15"/>
      <c r="C47" s="14"/>
      <c r="D47" s="14"/>
      <c r="E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5"/>
      <c r="B48" s="15"/>
      <c r="C48" s="14"/>
      <c r="D48" s="14"/>
      <c r="E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5"/>
      <c r="B49" s="15"/>
      <c r="C49" s="14"/>
      <c r="D49" s="14"/>
      <c r="E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5"/>
      <c r="B50" s="15"/>
      <c r="C50" s="14"/>
      <c r="D50" s="14"/>
      <c r="E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4" customHeight="1">
      <c r="A51" s="15"/>
      <c r="B51" s="15"/>
      <c r="C51" s="14"/>
      <c r="D51" s="14"/>
      <c r="E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4" customHeight="1">
      <c r="A52" s="15"/>
      <c r="B52" s="15"/>
      <c r="C52" s="14"/>
      <c r="D52" s="14"/>
      <c r="E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4" customHeight="1">
      <c r="A53" s="15"/>
      <c r="B53" s="15"/>
      <c r="C53" s="14"/>
      <c r="D53" s="14"/>
      <c r="E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4" customHeight="1">
      <c r="A54" s="15"/>
      <c r="B54" s="15"/>
      <c r="C54" s="14"/>
      <c r="D54" s="14"/>
      <c r="E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4" customHeight="1">
      <c r="A55" s="15"/>
      <c r="B55" s="15"/>
      <c r="C55" s="14"/>
      <c r="D55" s="14"/>
      <c r="E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4" customHeight="1">
      <c r="A56" s="15"/>
      <c r="B56" s="15"/>
      <c r="C56" s="14"/>
      <c r="D56" s="14"/>
      <c r="E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4" customHeight="1">
      <c r="A57" s="15"/>
      <c r="B57" s="15"/>
      <c r="C57" s="14"/>
      <c r="D57" s="14"/>
      <c r="E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4" customHeight="1">
      <c r="A58" s="15"/>
      <c r="B58" s="15"/>
      <c r="C58" s="14"/>
      <c r="D58" s="14"/>
      <c r="E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4" customHeight="1">
      <c r="A59" s="15"/>
      <c r="B59" s="15"/>
      <c r="C59" s="14"/>
      <c r="D59" s="14"/>
      <c r="E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4" customHeight="1">
      <c r="A60" s="15"/>
      <c r="B60" s="15"/>
      <c r="C60" s="14"/>
      <c r="D60" s="14"/>
      <c r="E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4" customHeight="1">
      <c r="A61" s="15"/>
      <c r="B61" s="15"/>
      <c r="C61" s="14"/>
      <c r="D61" s="14"/>
      <c r="E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4" customHeight="1">
      <c r="A62" s="15"/>
      <c r="B62" s="15"/>
      <c r="C62" s="14"/>
      <c r="D62" s="14"/>
      <c r="E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4" customHeight="1">
      <c r="A63" s="15"/>
      <c r="B63" s="15"/>
      <c r="C63" s="14"/>
      <c r="D63" s="14"/>
      <c r="E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4" customHeight="1">
      <c r="A64" s="15"/>
      <c r="B64" s="15"/>
      <c r="C64" s="14"/>
      <c r="D64" s="14"/>
      <c r="E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4" customHeight="1">
      <c r="A65" s="15"/>
      <c r="B65" s="15"/>
      <c r="C65" s="14"/>
      <c r="D65" s="14"/>
      <c r="E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4" customHeight="1">
      <c r="A66" s="15"/>
      <c r="B66" s="15"/>
      <c r="C66" s="14"/>
      <c r="D66" s="14"/>
      <c r="E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4" customHeight="1">
      <c r="A67" s="15"/>
      <c r="B67" s="15"/>
      <c r="C67" s="14"/>
      <c r="D67" s="14"/>
      <c r="E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4" customHeight="1">
      <c r="A68" s="15"/>
      <c r="B68" s="15"/>
      <c r="C68" s="14"/>
      <c r="D68" s="14"/>
      <c r="E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4" customHeight="1">
      <c r="A69" s="15"/>
      <c r="B69" s="15"/>
      <c r="C69" s="14"/>
      <c r="D69" s="14"/>
      <c r="E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4" customHeight="1">
      <c r="A70" s="15"/>
      <c r="B70" s="15"/>
      <c r="C70" s="14"/>
      <c r="D70" s="14"/>
      <c r="E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4" customHeight="1">
      <c r="A71" s="15"/>
      <c r="B71" s="15"/>
      <c r="C71" s="14"/>
      <c r="D71" s="14"/>
      <c r="E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4" customHeight="1">
      <c r="A72" s="15"/>
      <c r="B72" s="15"/>
      <c r="C72" s="14"/>
      <c r="D72" s="14"/>
      <c r="E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4" customHeight="1">
      <c r="A73" s="15"/>
      <c r="B73" s="15"/>
      <c r="C73" s="14"/>
      <c r="D73" s="14"/>
      <c r="E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4" customHeight="1">
      <c r="A74" s="15"/>
      <c r="B74" s="15"/>
      <c r="C74" s="14"/>
      <c r="D74" s="14"/>
      <c r="E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4" customHeight="1">
      <c r="A75" s="15"/>
      <c r="B75" s="15"/>
      <c r="C75" s="14"/>
      <c r="D75" s="14"/>
      <c r="E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4" customHeight="1">
      <c r="A76" s="15"/>
      <c r="B76" s="15"/>
      <c r="C76" s="14"/>
      <c r="D76" s="14"/>
      <c r="E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4" customHeight="1">
      <c r="A77" s="15"/>
      <c r="B77" s="15"/>
      <c r="C77" s="14"/>
      <c r="D77" s="14"/>
      <c r="E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4" customHeight="1">
      <c r="A78" s="15"/>
      <c r="B78" s="15"/>
      <c r="C78" s="14"/>
      <c r="D78" s="14"/>
      <c r="E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4" customHeight="1">
      <c r="A79" s="15"/>
      <c r="B79" s="15"/>
      <c r="C79" s="14"/>
      <c r="D79" s="14"/>
      <c r="E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4" customHeight="1">
      <c r="A80" s="15"/>
      <c r="B80" s="15"/>
      <c r="C80" s="14"/>
      <c r="D80" s="14"/>
      <c r="E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4" customHeight="1">
      <c r="A81" s="15"/>
      <c r="B81" s="15"/>
      <c r="C81" s="14"/>
      <c r="D81" s="14"/>
      <c r="E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4" customHeight="1">
      <c r="A82" s="15"/>
      <c r="B82" s="15"/>
      <c r="C82" s="14"/>
      <c r="D82" s="14"/>
      <c r="E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4" customHeight="1">
      <c r="A83" s="15"/>
      <c r="B83" s="15"/>
      <c r="C83" s="14"/>
      <c r="D83" s="14"/>
      <c r="E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4" customHeight="1">
      <c r="A84" s="15"/>
      <c r="B84" s="15"/>
      <c r="C84" s="14"/>
      <c r="D84" s="14"/>
      <c r="E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4" customHeight="1">
      <c r="A85" s="15"/>
      <c r="B85" s="15"/>
      <c r="C85" s="14"/>
      <c r="D85" s="14"/>
      <c r="E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4" customHeight="1">
      <c r="A86" s="15"/>
      <c r="B86" s="15"/>
      <c r="C86" s="14"/>
      <c r="D86" s="14"/>
      <c r="E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4" customHeight="1">
      <c r="A87" s="15"/>
      <c r="B87" s="15"/>
      <c r="C87" s="14"/>
      <c r="D87" s="14"/>
      <c r="E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4" customHeight="1">
      <c r="A88" s="15"/>
      <c r="B88" s="15"/>
      <c r="C88" s="14"/>
      <c r="D88" s="14"/>
      <c r="E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4" customHeight="1">
      <c r="A89" s="15"/>
      <c r="B89" s="15"/>
      <c r="C89" s="14"/>
      <c r="D89" s="14"/>
      <c r="E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4" customHeight="1">
      <c r="A90" s="15"/>
      <c r="B90" s="15"/>
      <c r="C90" s="14"/>
      <c r="D90" s="14"/>
      <c r="E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4" customHeight="1">
      <c r="A91" s="15"/>
      <c r="B91" s="15"/>
      <c r="C91" s="14"/>
      <c r="D91" s="14"/>
      <c r="E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4" customHeight="1">
      <c r="A92" s="15"/>
      <c r="B92" s="15"/>
      <c r="C92" s="14"/>
      <c r="D92" s="14"/>
      <c r="E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4" customHeight="1">
      <c r="A93" s="15"/>
      <c r="B93" s="15"/>
      <c r="C93" s="14"/>
      <c r="D93" s="14"/>
      <c r="E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4" customHeight="1">
      <c r="A94" s="15"/>
      <c r="B94" s="15"/>
      <c r="C94" s="14"/>
      <c r="D94" s="14"/>
      <c r="E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4" customHeight="1">
      <c r="A95" s="15"/>
      <c r="B95" s="15"/>
      <c r="C95" s="14"/>
      <c r="D95" s="14"/>
      <c r="E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4" customHeight="1">
      <c r="A96" s="15"/>
      <c r="B96" s="15"/>
      <c r="C96" s="14"/>
      <c r="D96" s="14"/>
      <c r="E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4" customHeight="1">
      <c r="A97" s="15"/>
      <c r="B97" s="15"/>
      <c r="C97" s="14"/>
      <c r="D97" s="14"/>
      <c r="E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4" customHeight="1">
      <c r="A98" s="15"/>
      <c r="B98" s="15"/>
      <c r="C98" s="14"/>
      <c r="D98" s="14"/>
      <c r="E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4" customHeight="1">
      <c r="A99" s="15"/>
      <c r="B99" s="15"/>
      <c r="C99" s="14"/>
      <c r="D99" s="14"/>
      <c r="E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4" customHeight="1">
      <c r="A100" s="15"/>
      <c r="B100" s="15"/>
      <c r="C100" s="14"/>
      <c r="D100" s="14"/>
      <c r="E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4" customHeight="1">
      <c r="A101" s="15"/>
      <c r="B101" s="15"/>
      <c r="C101" s="14"/>
      <c r="D101" s="14"/>
      <c r="E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4" customHeight="1">
      <c r="A102" s="15"/>
      <c r="B102" s="15"/>
      <c r="C102" s="14"/>
      <c r="D102" s="14"/>
      <c r="E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4" customHeight="1">
      <c r="A103" s="15"/>
      <c r="B103" s="15"/>
      <c r="C103" s="14"/>
      <c r="D103" s="14"/>
      <c r="E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4" customHeight="1">
      <c r="A104" s="15"/>
      <c r="B104" s="15"/>
      <c r="C104" s="14"/>
      <c r="D104" s="14"/>
      <c r="E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4" customHeight="1">
      <c r="A105" s="15"/>
      <c r="B105" s="15"/>
      <c r="C105" s="14"/>
      <c r="D105" s="14"/>
      <c r="E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4" customHeight="1">
      <c r="A106" s="15"/>
      <c r="B106" s="15"/>
      <c r="C106" s="14"/>
      <c r="D106" s="14"/>
      <c r="E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4" customHeight="1">
      <c r="A107" s="15"/>
      <c r="B107" s="15"/>
      <c r="C107" s="14"/>
      <c r="D107" s="14"/>
      <c r="E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4" customHeight="1">
      <c r="A108" s="15"/>
      <c r="B108" s="15"/>
      <c r="C108" s="14"/>
      <c r="D108" s="14"/>
      <c r="E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4" customHeight="1">
      <c r="A109" s="15"/>
      <c r="B109" s="15"/>
      <c r="C109" s="14"/>
      <c r="D109" s="14"/>
      <c r="E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4" customHeight="1">
      <c r="A110" s="15"/>
      <c r="B110" s="15"/>
      <c r="C110" s="14"/>
      <c r="D110" s="14"/>
      <c r="E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4" customHeight="1">
      <c r="A111" s="15"/>
      <c r="B111" s="15"/>
      <c r="C111" s="14"/>
      <c r="D111" s="14"/>
      <c r="E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4" customHeight="1">
      <c r="A112" s="15"/>
      <c r="B112" s="15"/>
      <c r="C112" s="14"/>
      <c r="D112" s="14"/>
      <c r="E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4" customHeight="1">
      <c r="A113" s="15"/>
      <c r="B113" s="15"/>
      <c r="C113" s="14"/>
      <c r="D113" s="14"/>
      <c r="E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4" customHeight="1">
      <c r="A114" s="15"/>
      <c r="B114" s="15"/>
      <c r="C114" s="14"/>
      <c r="D114" s="14"/>
      <c r="E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4" customHeight="1">
      <c r="A115" s="15"/>
      <c r="B115" s="15"/>
      <c r="C115" s="14"/>
      <c r="D115" s="14"/>
      <c r="E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4" customHeight="1">
      <c r="A116" s="15"/>
      <c r="B116" s="15"/>
      <c r="C116" s="14"/>
      <c r="D116" s="14"/>
      <c r="E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4" customHeight="1">
      <c r="A117" s="15"/>
      <c r="B117" s="15"/>
      <c r="C117" s="14"/>
      <c r="D117" s="14"/>
      <c r="E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4" customHeight="1">
      <c r="A118" s="15"/>
      <c r="B118" s="15"/>
      <c r="C118" s="14"/>
      <c r="D118" s="14"/>
      <c r="E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4" customHeight="1">
      <c r="A119" s="15"/>
      <c r="B119" s="15"/>
      <c r="C119" s="14"/>
      <c r="D119" s="14"/>
      <c r="E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4" customHeight="1">
      <c r="A120" s="15"/>
      <c r="B120" s="15"/>
      <c r="C120" s="14"/>
      <c r="D120" s="14"/>
      <c r="E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4" customHeight="1">
      <c r="A121" s="15"/>
      <c r="B121" s="15"/>
      <c r="C121" s="14"/>
      <c r="D121" s="14"/>
      <c r="E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4" customHeight="1">
      <c r="A122" s="15"/>
      <c r="B122" s="15"/>
      <c r="C122" s="14"/>
      <c r="D122" s="14"/>
      <c r="E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4" customHeight="1">
      <c r="A123" s="15"/>
      <c r="B123" s="15"/>
      <c r="C123" s="14"/>
      <c r="D123" s="14"/>
      <c r="E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4" customHeight="1">
      <c r="A124" s="15"/>
      <c r="B124" s="15"/>
      <c r="C124" s="14"/>
      <c r="D124" s="14"/>
      <c r="E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4" customHeight="1">
      <c r="A125" s="15"/>
      <c r="B125" s="15"/>
      <c r="C125" s="14"/>
      <c r="D125" s="14"/>
      <c r="E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4" customHeight="1">
      <c r="A126" s="15"/>
      <c r="B126" s="15"/>
      <c r="C126" s="14"/>
      <c r="D126" s="14"/>
      <c r="E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4" customHeight="1">
      <c r="A127" s="15"/>
      <c r="B127" s="15"/>
      <c r="C127" s="14"/>
      <c r="D127" s="14"/>
      <c r="E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4" customHeight="1">
      <c r="A128" s="15"/>
      <c r="B128" s="15"/>
      <c r="C128" s="14"/>
      <c r="D128" s="14"/>
      <c r="E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4" customHeight="1">
      <c r="A129" s="15"/>
      <c r="B129" s="15"/>
      <c r="C129" s="14"/>
      <c r="D129" s="14"/>
      <c r="E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4" customHeight="1">
      <c r="A130" s="15"/>
      <c r="B130" s="15"/>
      <c r="C130" s="14"/>
      <c r="D130" s="14"/>
      <c r="E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4" customHeight="1">
      <c r="A131" s="15"/>
      <c r="B131" s="15"/>
      <c r="C131" s="14"/>
      <c r="D131" s="14"/>
      <c r="E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4" customHeight="1">
      <c r="A132" s="15"/>
      <c r="B132" s="15"/>
      <c r="C132" s="14"/>
      <c r="D132" s="14"/>
      <c r="E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4" customHeight="1">
      <c r="A133" s="15"/>
      <c r="B133" s="15"/>
      <c r="C133" s="14"/>
      <c r="D133" s="14"/>
      <c r="E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4" customHeight="1">
      <c r="A134" s="15"/>
      <c r="B134" s="15"/>
      <c r="C134" s="14"/>
      <c r="D134" s="14"/>
      <c r="E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4" customHeight="1">
      <c r="A135" s="15"/>
      <c r="B135" s="15"/>
      <c r="C135" s="14"/>
      <c r="D135" s="14"/>
      <c r="E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4" customHeight="1">
      <c r="A136" s="15"/>
      <c r="B136" s="15"/>
      <c r="C136" s="14"/>
      <c r="D136" s="14"/>
      <c r="E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4" customHeight="1">
      <c r="A137" s="15"/>
      <c r="B137" s="15"/>
      <c r="C137" s="14"/>
      <c r="D137" s="14"/>
      <c r="E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4" customHeight="1">
      <c r="A138" s="15"/>
      <c r="B138" s="15"/>
      <c r="C138" s="14"/>
      <c r="D138" s="14"/>
      <c r="E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4" customHeight="1">
      <c r="A139" s="15"/>
      <c r="B139" s="15"/>
      <c r="C139" s="14"/>
      <c r="D139" s="14"/>
      <c r="E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4" customHeight="1">
      <c r="A140" s="15"/>
      <c r="B140" s="15"/>
      <c r="C140" s="14"/>
      <c r="D140" s="14"/>
      <c r="E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4" customHeight="1">
      <c r="A141" s="15"/>
      <c r="B141" s="15"/>
      <c r="C141" s="14"/>
      <c r="D141" s="14"/>
      <c r="E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4" customHeight="1">
      <c r="A142" s="15"/>
      <c r="B142" s="15"/>
      <c r="C142" s="14"/>
      <c r="D142" s="14"/>
      <c r="E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4" customHeight="1">
      <c r="A143" s="15"/>
      <c r="B143" s="15"/>
      <c r="C143" s="14"/>
      <c r="D143" s="14"/>
      <c r="E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4" customHeight="1">
      <c r="A144" s="15"/>
      <c r="B144" s="15"/>
      <c r="C144" s="14"/>
      <c r="D144" s="14"/>
      <c r="E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4" customHeight="1">
      <c r="A145" s="15"/>
      <c r="B145" s="15"/>
      <c r="C145" s="14"/>
      <c r="D145" s="14"/>
      <c r="E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4" customHeight="1">
      <c r="A146" s="15"/>
      <c r="B146" s="15"/>
      <c r="C146" s="14"/>
      <c r="D146" s="14"/>
      <c r="E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4" customHeight="1">
      <c r="A147" s="15"/>
      <c r="B147" s="15"/>
      <c r="C147" s="14"/>
      <c r="D147" s="14"/>
      <c r="E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4" customHeight="1">
      <c r="A148" s="15"/>
      <c r="B148" s="15"/>
      <c r="C148" s="14"/>
      <c r="D148" s="14"/>
      <c r="E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4" customHeight="1">
      <c r="A149" s="15"/>
      <c r="B149" s="15"/>
      <c r="C149" s="14"/>
      <c r="D149" s="14"/>
      <c r="E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4" customHeight="1">
      <c r="A150" s="15"/>
      <c r="B150" s="15"/>
      <c r="C150" s="14"/>
      <c r="D150" s="14"/>
      <c r="E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4" customHeight="1">
      <c r="A151" s="15"/>
      <c r="B151" s="15"/>
      <c r="C151" s="14"/>
      <c r="D151" s="14"/>
      <c r="E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4" customHeight="1">
      <c r="A152" s="15"/>
      <c r="B152" s="15"/>
      <c r="C152" s="14"/>
      <c r="D152" s="14"/>
      <c r="E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4" customHeight="1">
      <c r="A153" s="15"/>
      <c r="B153" s="15"/>
      <c r="C153" s="14"/>
      <c r="D153" s="14"/>
      <c r="E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4" customHeight="1">
      <c r="A154" s="15"/>
      <c r="B154" s="15"/>
      <c r="C154" s="14"/>
      <c r="D154" s="14"/>
      <c r="E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4" customHeight="1">
      <c r="A155" s="15"/>
      <c r="B155" s="15"/>
      <c r="C155" s="14"/>
      <c r="D155" s="14"/>
      <c r="E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4" customHeight="1">
      <c r="A156" s="15"/>
      <c r="B156" s="15"/>
      <c r="C156" s="14"/>
      <c r="D156" s="14"/>
      <c r="E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4" customHeight="1">
      <c r="A157" s="15"/>
      <c r="B157" s="15"/>
      <c r="C157" s="14"/>
      <c r="D157" s="14"/>
      <c r="E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4" customHeight="1">
      <c r="A158" s="15"/>
      <c r="B158" s="15"/>
      <c r="C158" s="14"/>
      <c r="D158" s="14"/>
      <c r="E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4" customHeight="1">
      <c r="A159" s="15"/>
      <c r="B159" s="15"/>
      <c r="C159" s="14"/>
      <c r="D159" s="14"/>
      <c r="E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4" customHeight="1">
      <c r="A160" s="15"/>
      <c r="B160" s="15"/>
      <c r="C160" s="14"/>
      <c r="D160" s="14"/>
      <c r="E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4" customHeight="1">
      <c r="A161" s="15"/>
      <c r="B161" s="15"/>
      <c r="C161" s="14"/>
      <c r="D161" s="14"/>
      <c r="E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4" customHeight="1">
      <c r="A162" s="15"/>
      <c r="B162" s="15"/>
      <c r="C162" s="14"/>
      <c r="D162" s="14"/>
      <c r="E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4" customHeight="1">
      <c r="A163" s="15"/>
      <c r="B163" s="15"/>
      <c r="C163" s="14"/>
      <c r="D163" s="14"/>
      <c r="E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4" customHeight="1">
      <c r="A164" s="15"/>
      <c r="B164" s="15"/>
      <c r="C164" s="14"/>
      <c r="D164" s="14"/>
      <c r="E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4" customHeight="1">
      <c r="A165" s="15"/>
      <c r="B165" s="15"/>
      <c r="C165" s="14"/>
      <c r="D165" s="14"/>
      <c r="E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4" customHeight="1">
      <c r="A166" s="15"/>
      <c r="B166" s="15"/>
      <c r="C166" s="14"/>
      <c r="D166" s="14"/>
      <c r="E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4" customHeight="1">
      <c r="A167" s="15"/>
      <c r="B167" s="15"/>
      <c r="C167" s="14"/>
      <c r="D167" s="14"/>
      <c r="E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4" customHeight="1">
      <c r="A168" s="15"/>
      <c r="B168" s="15"/>
      <c r="C168" s="14"/>
      <c r="D168" s="14"/>
      <c r="E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4" customHeight="1">
      <c r="A169" s="15"/>
      <c r="B169" s="15"/>
      <c r="C169" s="14"/>
      <c r="D169" s="14"/>
      <c r="E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4" customHeight="1">
      <c r="A170" s="15"/>
      <c r="B170" s="15"/>
      <c r="C170" s="14"/>
      <c r="D170" s="14"/>
      <c r="E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4" customHeight="1">
      <c r="A171" s="15"/>
      <c r="B171" s="15"/>
      <c r="C171" s="14"/>
      <c r="D171" s="14"/>
      <c r="E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4" customHeight="1">
      <c r="A172" s="15"/>
      <c r="B172" s="15"/>
      <c r="C172" s="14"/>
      <c r="D172" s="14"/>
      <c r="E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4" customHeight="1">
      <c r="A173" s="15"/>
      <c r="B173" s="15"/>
      <c r="C173" s="14"/>
      <c r="D173" s="14"/>
      <c r="E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4" customHeight="1">
      <c r="A174" s="15"/>
      <c r="B174" s="15"/>
      <c r="C174" s="14"/>
      <c r="D174" s="14"/>
      <c r="E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4" customHeight="1">
      <c r="A175" s="15"/>
      <c r="B175" s="15"/>
      <c r="C175" s="14"/>
      <c r="D175" s="14"/>
      <c r="E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4" customHeight="1">
      <c r="A176" s="15"/>
      <c r="B176" s="15"/>
      <c r="C176" s="14"/>
      <c r="D176" s="14"/>
      <c r="E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4" customHeight="1">
      <c r="A177" s="15"/>
      <c r="B177" s="15"/>
      <c r="C177" s="14"/>
      <c r="D177" s="14"/>
      <c r="E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4" customHeight="1">
      <c r="A178" s="15"/>
      <c r="B178" s="15"/>
      <c r="C178" s="14"/>
      <c r="D178" s="14"/>
      <c r="E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4" customHeight="1">
      <c r="A179" s="15"/>
      <c r="B179" s="15"/>
      <c r="C179" s="14"/>
      <c r="D179" s="14"/>
      <c r="E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4" customHeight="1">
      <c r="A180" s="15"/>
      <c r="B180" s="15"/>
      <c r="C180" s="14"/>
      <c r="D180" s="14"/>
      <c r="E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4" customHeight="1">
      <c r="A181" s="15"/>
      <c r="B181" s="15"/>
      <c r="C181" s="14"/>
      <c r="D181" s="14"/>
      <c r="E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4" customHeight="1">
      <c r="A182" s="15"/>
      <c r="B182" s="15"/>
      <c r="C182" s="14"/>
      <c r="D182" s="14"/>
      <c r="E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4" customHeight="1">
      <c r="A183" s="15"/>
      <c r="B183" s="15"/>
      <c r="C183" s="14"/>
      <c r="D183" s="14"/>
      <c r="E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4" customHeight="1">
      <c r="A184" s="15"/>
      <c r="B184" s="15"/>
      <c r="C184" s="14"/>
      <c r="D184" s="14"/>
      <c r="E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4" customHeight="1">
      <c r="A185" s="15"/>
      <c r="B185" s="15"/>
      <c r="C185" s="14"/>
      <c r="D185" s="14"/>
      <c r="E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4" customHeight="1">
      <c r="A186" s="15"/>
      <c r="B186" s="15"/>
      <c r="C186" s="14"/>
      <c r="D186" s="14"/>
      <c r="E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4" customHeight="1">
      <c r="A187" s="15"/>
      <c r="B187" s="15"/>
      <c r="C187" s="14"/>
      <c r="D187" s="14"/>
      <c r="E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4" customHeight="1">
      <c r="A188" s="15"/>
      <c r="B188" s="15"/>
      <c r="C188" s="14"/>
      <c r="D188" s="14"/>
      <c r="E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4" customHeight="1">
      <c r="A189" s="15"/>
      <c r="B189" s="15"/>
      <c r="C189" s="14"/>
      <c r="D189" s="14"/>
      <c r="E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4" customHeight="1">
      <c r="A190" s="15"/>
      <c r="B190" s="15"/>
      <c r="C190" s="14"/>
      <c r="D190" s="14"/>
      <c r="E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4" customHeight="1">
      <c r="A191" s="15"/>
      <c r="B191" s="15"/>
      <c r="C191" s="14"/>
      <c r="D191" s="14"/>
      <c r="E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4" customHeight="1">
      <c r="A192" s="15"/>
      <c r="B192" s="15"/>
      <c r="C192" s="14"/>
      <c r="D192" s="14"/>
      <c r="E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4" customHeight="1">
      <c r="A193" s="15"/>
      <c r="B193" s="15"/>
      <c r="C193" s="14"/>
      <c r="D193" s="14"/>
      <c r="E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4" customHeight="1">
      <c r="A194" s="15"/>
      <c r="B194" s="15"/>
      <c r="C194" s="14"/>
      <c r="D194" s="14"/>
      <c r="E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4" customHeight="1">
      <c r="A195" s="15"/>
      <c r="B195" s="15"/>
      <c r="C195" s="14"/>
      <c r="D195" s="14"/>
      <c r="E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4" customHeight="1">
      <c r="A196" s="15"/>
      <c r="B196" s="15"/>
      <c r="C196" s="14"/>
      <c r="D196" s="14"/>
      <c r="E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4" customHeight="1">
      <c r="A197" s="15"/>
      <c r="B197" s="15"/>
      <c r="C197" s="14"/>
      <c r="D197" s="14"/>
      <c r="E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4" customHeight="1">
      <c r="A198" s="15"/>
      <c r="B198" s="15"/>
      <c r="C198" s="14"/>
      <c r="D198" s="14"/>
      <c r="E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4" customHeight="1">
      <c r="A199" s="15"/>
      <c r="B199" s="15"/>
      <c r="C199" s="14"/>
      <c r="D199" s="14"/>
      <c r="E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4" customHeight="1">
      <c r="A200" s="15"/>
      <c r="B200" s="15"/>
      <c r="C200" s="14"/>
      <c r="D200" s="14"/>
      <c r="E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4" customHeight="1">
      <c r="A201" s="15"/>
      <c r="B201" s="15"/>
      <c r="C201" s="14"/>
      <c r="D201" s="14"/>
      <c r="E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4" customHeight="1">
      <c r="A202" s="15"/>
      <c r="B202" s="15"/>
      <c r="C202" s="14"/>
      <c r="D202" s="14"/>
      <c r="E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4" customHeight="1">
      <c r="A203" s="15"/>
      <c r="B203" s="15"/>
      <c r="C203" s="14"/>
      <c r="D203" s="14"/>
      <c r="E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4" customHeight="1">
      <c r="A204" s="15"/>
      <c r="B204" s="15"/>
      <c r="C204" s="14"/>
      <c r="D204" s="14"/>
      <c r="E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4" customHeight="1">
      <c r="A205" s="15"/>
      <c r="B205" s="15"/>
      <c r="C205" s="14"/>
      <c r="D205" s="14"/>
      <c r="E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4" customHeight="1">
      <c r="A206" s="15"/>
      <c r="B206" s="15"/>
      <c r="C206" s="14"/>
      <c r="D206" s="14"/>
      <c r="E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4" customHeight="1">
      <c r="A207" s="15"/>
      <c r="B207" s="15"/>
      <c r="C207" s="14"/>
      <c r="D207" s="14"/>
      <c r="E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4" customHeight="1">
      <c r="A208" s="15"/>
      <c r="B208" s="15"/>
      <c r="C208" s="14"/>
      <c r="D208" s="14"/>
      <c r="E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4" customHeight="1">
      <c r="A209" s="15"/>
      <c r="B209" s="15"/>
      <c r="C209" s="14"/>
      <c r="D209" s="14"/>
      <c r="E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4" customHeight="1">
      <c r="A210" s="15"/>
      <c r="B210" s="15"/>
      <c r="C210" s="14"/>
      <c r="D210" s="14"/>
      <c r="E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4" customHeight="1">
      <c r="A211" s="15"/>
      <c r="B211" s="15"/>
      <c r="C211" s="14"/>
      <c r="D211" s="14"/>
      <c r="E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4" customHeight="1">
      <c r="A212" s="15"/>
      <c r="B212" s="15"/>
      <c r="C212" s="14"/>
      <c r="D212" s="14"/>
      <c r="E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4" customHeight="1">
      <c r="A213" s="15"/>
      <c r="B213" s="15"/>
      <c r="C213" s="14"/>
      <c r="D213" s="14"/>
      <c r="E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4" customHeight="1">
      <c r="A214" s="15"/>
      <c r="B214" s="15"/>
      <c r="C214" s="14"/>
      <c r="D214" s="14"/>
      <c r="E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4" customHeight="1">
      <c r="A215" s="15"/>
      <c r="B215" s="15"/>
      <c r="C215" s="14"/>
      <c r="D215" s="14"/>
      <c r="E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4" customHeight="1">
      <c r="A216" s="15"/>
      <c r="B216" s="15"/>
      <c r="C216" s="14"/>
      <c r="D216" s="14"/>
      <c r="E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4" customHeight="1">
      <c r="A217" s="15"/>
      <c r="B217" s="15"/>
      <c r="C217" s="14"/>
      <c r="D217" s="14"/>
      <c r="E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4" customHeight="1">
      <c r="A218" s="15"/>
      <c r="B218" s="15"/>
      <c r="C218" s="14"/>
      <c r="D218" s="14"/>
      <c r="E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4" customHeight="1">
      <c r="A219" s="15"/>
      <c r="B219" s="15"/>
      <c r="C219" s="14"/>
      <c r="D219" s="14"/>
      <c r="E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4" customHeight="1">
      <c r="A220" s="15"/>
      <c r="B220" s="15"/>
      <c r="C220" s="14"/>
      <c r="D220" s="14"/>
      <c r="E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4" customHeight="1">
      <c r="A221" s="15"/>
      <c r="B221" s="15"/>
      <c r="C221" s="14"/>
      <c r="D221" s="14"/>
      <c r="E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4" customHeight="1">
      <c r="A222" s="15"/>
      <c r="B222" s="15"/>
      <c r="C222" s="14"/>
      <c r="D222" s="14"/>
      <c r="E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4" customHeight="1">
      <c r="A223" s="15"/>
      <c r="B223" s="15"/>
      <c r="C223" s="14"/>
      <c r="D223" s="14"/>
      <c r="E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4" customHeight="1">
      <c r="A224" s="15"/>
      <c r="B224" s="15"/>
      <c r="C224" s="14"/>
      <c r="D224" s="14"/>
      <c r="E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4" customHeight="1">
      <c r="A225" s="15"/>
      <c r="B225" s="15"/>
      <c r="C225" s="14"/>
      <c r="D225" s="14"/>
      <c r="E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4" customHeight="1">
      <c r="A226" s="15"/>
      <c r="B226" s="15"/>
      <c r="C226" s="14"/>
      <c r="D226" s="14"/>
      <c r="E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4" customHeight="1">
      <c r="A227" s="15"/>
      <c r="B227" s="15"/>
      <c r="C227" s="14"/>
      <c r="D227" s="14"/>
      <c r="E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4" customHeight="1">
      <c r="A228" s="15"/>
      <c r="B228" s="15"/>
      <c r="C228" s="14"/>
      <c r="D228" s="14"/>
      <c r="E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4" customHeight="1">
      <c r="A229" s="15"/>
      <c r="B229" s="15"/>
      <c r="C229" s="14"/>
      <c r="D229" s="14"/>
      <c r="E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4" customHeight="1">
      <c r="A230" s="15"/>
      <c r="B230" s="15"/>
      <c r="C230" s="14"/>
      <c r="D230" s="14"/>
      <c r="E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4" customHeight="1">
      <c r="A231" s="15"/>
      <c r="B231" s="15"/>
      <c r="C231" s="14"/>
      <c r="D231" s="14"/>
      <c r="E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4" customHeight="1">
      <c r="A232" s="15"/>
      <c r="B232" s="15"/>
      <c r="C232" s="14"/>
      <c r="D232" s="14"/>
      <c r="E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4" customHeight="1">
      <c r="A233" s="15"/>
      <c r="B233" s="15"/>
      <c r="C233" s="14"/>
      <c r="D233" s="14"/>
      <c r="E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4" customHeight="1">
      <c r="A234" s="15"/>
      <c r="B234" s="15"/>
      <c r="C234" s="14"/>
      <c r="D234" s="14"/>
      <c r="E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4" customHeight="1">
      <c r="A235" s="15"/>
      <c r="B235" s="15"/>
      <c r="C235" s="14"/>
      <c r="D235" s="14"/>
      <c r="E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4" customHeight="1">
      <c r="A236" s="15"/>
      <c r="B236" s="15"/>
      <c r="C236" s="14"/>
      <c r="D236" s="14"/>
      <c r="E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4" customHeight="1">
      <c r="A237" s="15"/>
      <c r="B237" s="15"/>
      <c r="C237" s="14"/>
      <c r="D237" s="14"/>
      <c r="E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4" customHeight="1">
      <c r="A238" s="15"/>
      <c r="B238" s="15"/>
      <c r="C238" s="14"/>
      <c r="D238" s="14"/>
      <c r="E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4" customHeight="1">
      <c r="A239" s="15"/>
      <c r="B239" s="15"/>
      <c r="C239" s="14"/>
      <c r="D239" s="14"/>
      <c r="E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4" customHeight="1">
      <c r="A240" s="15"/>
      <c r="B240" s="15"/>
      <c r="C240" s="14"/>
      <c r="D240" s="14"/>
      <c r="E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4" customHeight="1">
      <c r="A241" s="15"/>
      <c r="B241" s="15"/>
      <c r="C241" s="14"/>
      <c r="D241" s="14"/>
      <c r="E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4" customHeight="1">
      <c r="A242" s="15"/>
      <c r="B242" s="15"/>
      <c r="C242" s="14"/>
      <c r="D242" s="14"/>
      <c r="E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4" customHeight="1">
      <c r="A243" s="15"/>
      <c r="B243" s="15"/>
      <c r="C243" s="14"/>
      <c r="D243" s="14"/>
      <c r="E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4" customHeight="1">
      <c r="A244" s="15"/>
      <c r="B244" s="15"/>
      <c r="C244" s="14"/>
      <c r="D244" s="14"/>
      <c r="E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4" customHeight="1">
      <c r="A245" s="15"/>
      <c r="B245" s="15"/>
      <c r="C245" s="14"/>
      <c r="D245" s="14"/>
      <c r="E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4" customHeight="1">
      <c r="A246" s="15"/>
      <c r="B246" s="15"/>
      <c r="C246" s="14"/>
      <c r="D246" s="14"/>
      <c r="E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4" customHeight="1">
      <c r="A247" s="15"/>
      <c r="B247" s="15"/>
      <c r="C247" s="14"/>
      <c r="D247" s="14"/>
      <c r="E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4" customHeight="1">
      <c r="A248" s="15"/>
      <c r="B248" s="15"/>
      <c r="C248" s="14"/>
      <c r="D248" s="14"/>
      <c r="E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4" customHeight="1">
      <c r="A249" s="15"/>
      <c r="B249" s="15"/>
      <c r="C249" s="14"/>
      <c r="D249" s="14"/>
      <c r="E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4" customHeight="1">
      <c r="A250" s="15"/>
      <c r="B250" s="15"/>
      <c r="C250" s="14"/>
      <c r="D250" s="14"/>
      <c r="E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4" customHeight="1">
      <c r="A251" s="15"/>
      <c r="B251" s="15"/>
      <c r="C251" s="14"/>
      <c r="D251" s="14"/>
      <c r="E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4" customHeight="1">
      <c r="A252" s="15"/>
      <c r="B252" s="15"/>
      <c r="C252" s="14"/>
      <c r="D252" s="14"/>
      <c r="E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4" customHeight="1">
      <c r="A253" s="15"/>
      <c r="B253" s="15"/>
      <c r="C253" s="14"/>
      <c r="D253" s="14"/>
      <c r="E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4" customHeight="1">
      <c r="A254" s="15"/>
      <c r="B254" s="15"/>
      <c r="C254" s="14"/>
      <c r="D254" s="14"/>
      <c r="E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4" customHeight="1">
      <c r="A255" s="15"/>
      <c r="B255" s="15"/>
      <c r="C255" s="14"/>
      <c r="D255" s="14"/>
      <c r="E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4" customHeight="1">
      <c r="A256" s="15"/>
      <c r="B256" s="15"/>
      <c r="C256" s="14"/>
      <c r="D256" s="14"/>
      <c r="E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4" customHeight="1">
      <c r="A257" s="15"/>
      <c r="B257" s="15"/>
      <c r="C257" s="14"/>
      <c r="D257" s="14"/>
      <c r="E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4" customHeight="1">
      <c r="A258" s="15"/>
      <c r="B258" s="15"/>
      <c r="C258" s="14"/>
      <c r="D258" s="14"/>
      <c r="E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4" customHeight="1">
      <c r="A259" s="15"/>
      <c r="B259" s="15"/>
      <c r="C259" s="14"/>
      <c r="D259" s="14"/>
      <c r="E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4" customHeight="1">
      <c r="A260" s="15"/>
      <c r="B260" s="15"/>
      <c r="C260" s="14"/>
      <c r="D260" s="14"/>
      <c r="E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4" customHeight="1">
      <c r="A261" s="15"/>
      <c r="B261" s="15"/>
      <c r="C261" s="14"/>
      <c r="D261" s="14"/>
      <c r="E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4" customHeight="1">
      <c r="A262" s="15"/>
      <c r="B262" s="15"/>
      <c r="C262" s="14"/>
      <c r="D262" s="14"/>
      <c r="E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4" customHeight="1">
      <c r="A263" s="15"/>
      <c r="B263" s="15"/>
      <c r="C263" s="14"/>
      <c r="D263" s="14"/>
      <c r="E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4" customHeight="1">
      <c r="A264" s="15"/>
      <c r="B264" s="15"/>
      <c r="C264" s="14"/>
      <c r="D264" s="14"/>
      <c r="E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4" customHeight="1">
      <c r="A265" s="15"/>
      <c r="B265" s="15"/>
      <c r="C265" s="14"/>
      <c r="D265" s="14"/>
      <c r="E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4" customHeight="1">
      <c r="A266" s="15"/>
      <c r="B266" s="15"/>
      <c r="C266" s="14"/>
      <c r="D266" s="14"/>
      <c r="E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4" customHeight="1">
      <c r="A267" s="15"/>
      <c r="B267" s="15"/>
      <c r="C267" s="14"/>
      <c r="D267" s="14"/>
      <c r="E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4" customHeight="1">
      <c r="A268" s="15"/>
      <c r="B268" s="15"/>
      <c r="C268" s="14"/>
      <c r="D268" s="14"/>
      <c r="E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4" customHeight="1">
      <c r="A269" s="15"/>
      <c r="B269" s="15"/>
      <c r="C269" s="14"/>
      <c r="D269" s="14"/>
      <c r="E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4" customHeight="1">
      <c r="A270" s="15"/>
      <c r="B270" s="15"/>
      <c r="C270" s="14"/>
      <c r="D270" s="14"/>
      <c r="E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4" customHeight="1">
      <c r="A271" s="15"/>
      <c r="B271" s="15"/>
      <c r="C271" s="14"/>
      <c r="D271" s="14"/>
      <c r="E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4" customHeight="1">
      <c r="A272" s="15"/>
      <c r="B272" s="15"/>
      <c r="C272" s="14"/>
      <c r="D272" s="14"/>
      <c r="E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4" customHeight="1">
      <c r="A273" s="15"/>
      <c r="B273" s="15"/>
      <c r="C273" s="14"/>
      <c r="D273" s="14"/>
      <c r="E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4" customHeight="1">
      <c r="A274" s="15"/>
      <c r="B274" s="15"/>
      <c r="C274" s="14"/>
      <c r="D274" s="14"/>
      <c r="E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4" customHeight="1">
      <c r="A275" s="15"/>
      <c r="B275" s="15"/>
      <c r="C275" s="14"/>
      <c r="D275" s="14"/>
      <c r="E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4" customHeight="1">
      <c r="A276" s="15"/>
      <c r="B276" s="15"/>
      <c r="C276" s="14"/>
      <c r="D276" s="14"/>
      <c r="E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4" customHeight="1">
      <c r="A277" s="15"/>
      <c r="B277" s="15"/>
      <c r="C277" s="14"/>
      <c r="D277" s="14"/>
      <c r="E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4" customHeight="1">
      <c r="A278" s="15"/>
      <c r="B278" s="15"/>
      <c r="C278" s="14"/>
      <c r="D278" s="14"/>
      <c r="E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4" customHeight="1">
      <c r="A279" s="15"/>
      <c r="B279" s="15"/>
      <c r="C279" s="14"/>
      <c r="D279" s="14"/>
      <c r="E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4" customHeight="1">
      <c r="A280" s="15"/>
      <c r="B280" s="15"/>
      <c r="C280" s="14"/>
      <c r="D280" s="14"/>
      <c r="E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4" customHeight="1">
      <c r="A281" s="15"/>
      <c r="B281" s="15"/>
      <c r="C281" s="14"/>
      <c r="D281" s="14"/>
      <c r="E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4" customHeight="1">
      <c r="A282" s="15"/>
      <c r="B282" s="15"/>
      <c r="C282" s="14"/>
      <c r="D282" s="14"/>
      <c r="E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4" customHeight="1">
      <c r="A283" s="15"/>
      <c r="B283" s="15"/>
      <c r="C283" s="14"/>
      <c r="D283" s="14"/>
      <c r="E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4" customHeight="1">
      <c r="A284" s="15"/>
      <c r="B284" s="15"/>
      <c r="C284" s="14"/>
      <c r="D284" s="14"/>
      <c r="E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4" customHeight="1">
      <c r="A285" s="15"/>
      <c r="B285" s="15"/>
      <c r="C285" s="14"/>
      <c r="D285" s="14"/>
      <c r="E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4" customHeight="1">
      <c r="A286" s="15"/>
      <c r="B286" s="15"/>
      <c r="C286" s="14"/>
      <c r="D286" s="14"/>
      <c r="E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4" customHeight="1">
      <c r="A287" s="15"/>
      <c r="B287" s="15"/>
      <c r="C287" s="14"/>
      <c r="D287" s="14"/>
      <c r="E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4" customHeight="1">
      <c r="A288" s="15"/>
      <c r="B288" s="15"/>
      <c r="C288" s="14"/>
      <c r="D288" s="14"/>
      <c r="E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4" customHeight="1">
      <c r="A289" s="15"/>
      <c r="B289" s="15"/>
      <c r="C289" s="14"/>
      <c r="D289" s="14"/>
      <c r="E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4" customHeight="1">
      <c r="A290" s="15"/>
      <c r="B290" s="15"/>
      <c r="C290" s="14"/>
      <c r="D290" s="14"/>
      <c r="E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4" customHeight="1">
      <c r="A291" s="15"/>
      <c r="B291" s="15"/>
      <c r="C291" s="14"/>
      <c r="D291" s="14"/>
      <c r="E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4" customHeight="1">
      <c r="A292" s="15"/>
      <c r="B292" s="15"/>
      <c r="C292" s="14"/>
      <c r="D292" s="14"/>
      <c r="E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4" customHeight="1">
      <c r="A293" s="15"/>
      <c r="B293" s="15"/>
      <c r="C293" s="14"/>
      <c r="D293" s="14"/>
      <c r="E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4" customHeight="1">
      <c r="A294" s="15"/>
      <c r="B294" s="15"/>
      <c r="C294" s="14"/>
      <c r="D294" s="14"/>
      <c r="E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4" customHeight="1">
      <c r="A295" s="15"/>
      <c r="B295" s="15"/>
      <c r="C295" s="14"/>
      <c r="D295" s="14"/>
      <c r="E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4" customHeight="1">
      <c r="A296" s="15"/>
      <c r="B296" s="15"/>
      <c r="C296" s="14"/>
      <c r="D296" s="14"/>
      <c r="E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4" customHeight="1">
      <c r="A297" s="15"/>
      <c r="B297" s="15"/>
      <c r="C297" s="14"/>
      <c r="D297" s="14"/>
      <c r="E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4" customHeight="1">
      <c r="A298" s="15"/>
      <c r="B298" s="15"/>
      <c r="C298" s="14"/>
      <c r="D298" s="14"/>
      <c r="E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4" customHeight="1">
      <c r="A299" s="15"/>
      <c r="B299" s="15"/>
      <c r="C299" s="14"/>
      <c r="D299" s="14"/>
      <c r="E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4" customHeight="1">
      <c r="A300" s="15"/>
      <c r="B300" s="15"/>
      <c r="C300" s="14"/>
      <c r="D300" s="14"/>
      <c r="E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4" customHeight="1">
      <c r="A301" s="15"/>
      <c r="B301" s="15"/>
      <c r="C301" s="14"/>
      <c r="D301" s="14"/>
      <c r="E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4" customHeight="1">
      <c r="A302" s="15"/>
      <c r="B302" s="15"/>
      <c r="C302" s="14"/>
      <c r="D302" s="14"/>
      <c r="E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4" customHeight="1">
      <c r="A303" s="15"/>
      <c r="B303" s="15"/>
      <c r="C303" s="14"/>
      <c r="D303" s="14"/>
      <c r="E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4" customHeight="1">
      <c r="A304" s="15"/>
      <c r="B304" s="15"/>
      <c r="C304" s="14"/>
      <c r="D304" s="14"/>
      <c r="E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4" customHeight="1">
      <c r="A305" s="15"/>
      <c r="B305" s="15"/>
      <c r="C305" s="14"/>
      <c r="D305" s="14"/>
      <c r="E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4" customHeight="1">
      <c r="A306" s="15"/>
      <c r="B306" s="15"/>
      <c r="C306" s="14"/>
      <c r="D306" s="14"/>
      <c r="E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4" customHeight="1">
      <c r="A307" s="15"/>
      <c r="B307" s="15"/>
      <c r="C307" s="14"/>
      <c r="D307" s="14"/>
      <c r="E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4" customHeight="1">
      <c r="A308" s="15"/>
      <c r="B308" s="15"/>
      <c r="C308" s="14"/>
      <c r="D308" s="14"/>
      <c r="E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4" customHeight="1">
      <c r="A309" s="15"/>
      <c r="B309" s="15"/>
      <c r="C309" s="14"/>
      <c r="D309" s="14"/>
      <c r="E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4" customHeight="1">
      <c r="A310" s="15"/>
      <c r="B310" s="15"/>
      <c r="C310" s="14"/>
      <c r="D310" s="14"/>
      <c r="E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4" customHeight="1">
      <c r="A311" s="15"/>
      <c r="B311" s="15"/>
      <c r="C311" s="14"/>
      <c r="D311" s="14"/>
      <c r="E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4" customHeight="1">
      <c r="A312" s="15"/>
      <c r="B312" s="15"/>
      <c r="C312" s="14"/>
      <c r="D312" s="14"/>
      <c r="E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4" customHeight="1">
      <c r="A313" s="15"/>
      <c r="B313" s="15"/>
      <c r="C313" s="14"/>
      <c r="D313" s="14"/>
      <c r="E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4" customHeight="1">
      <c r="A314" s="15"/>
      <c r="B314" s="15"/>
      <c r="C314" s="14"/>
      <c r="D314" s="14"/>
      <c r="E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4" customHeight="1">
      <c r="A315" s="15"/>
      <c r="B315" s="15"/>
      <c r="C315" s="14"/>
      <c r="D315" s="14"/>
      <c r="E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4" customHeight="1">
      <c r="A316" s="15"/>
      <c r="B316" s="15"/>
      <c r="C316" s="14"/>
      <c r="D316" s="14"/>
      <c r="E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4" customHeight="1">
      <c r="A317" s="15"/>
      <c r="B317" s="15"/>
      <c r="C317" s="14"/>
      <c r="D317" s="14"/>
      <c r="E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4" customHeight="1">
      <c r="A318" s="15"/>
      <c r="B318" s="15"/>
      <c r="C318" s="14"/>
      <c r="D318" s="14"/>
      <c r="E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4" customHeight="1">
      <c r="A319" s="15"/>
      <c r="B319" s="15"/>
      <c r="C319" s="14"/>
      <c r="D319" s="14"/>
      <c r="E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4" customHeight="1">
      <c r="A320" s="15"/>
      <c r="B320" s="15"/>
      <c r="C320" s="14"/>
      <c r="D320" s="14"/>
      <c r="E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4" customHeight="1">
      <c r="A321" s="15"/>
      <c r="B321" s="15"/>
      <c r="C321" s="14"/>
      <c r="D321" s="14"/>
      <c r="E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4" customHeight="1">
      <c r="A322" s="15"/>
      <c r="B322" s="15"/>
      <c r="C322" s="14"/>
      <c r="D322" s="14"/>
      <c r="E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4" customHeight="1">
      <c r="A323" s="15"/>
      <c r="B323" s="15"/>
      <c r="C323" s="14"/>
      <c r="D323" s="14"/>
      <c r="E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4" customHeight="1">
      <c r="A324" s="15"/>
      <c r="B324" s="15"/>
      <c r="C324" s="14"/>
      <c r="D324" s="14"/>
      <c r="E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4" customHeight="1">
      <c r="A325" s="15"/>
      <c r="B325" s="15"/>
      <c r="C325" s="14"/>
      <c r="D325" s="14"/>
      <c r="E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4" customHeight="1">
      <c r="A326" s="15"/>
      <c r="B326" s="15"/>
      <c r="C326" s="14"/>
      <c r="D326" s="14"/>
      <c r="E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4" customHeight="1">
      <c r="A327" s="15"/>
      <c r="B327" s="15"/>
      <c r="C327" s="14"/>
      <c r="D327" s="14"/>
      <c r="E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4" customHeight="1">
      <c r="A328" s="15"/>
      <c r="B328" s="15"/>
      <c r="C328" s="14"/>
      <c r="D328" s="14"/>
      <c r="E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4" customHeight="1">
      <c r="A329" s="15"/>
      <c r="B329" s="15"/>
      <c r="C329" s="14"/>
      <c r="D329" s="14"/>
      <c r="E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4" customHeight="1">
      <c r="A330" s="15"/>
      <c r="B330" s="15"/>
      <c r="C330" s="14"/>
      <c r="D330" s="14"/>
      <c r="E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4" customHeight="1">
      <c r="A331" s="15"/>
      <c r="B331" s="15"/>
      <c r="C331" s="14"/>
      <c r="D331" s="14"/>
      <c r="E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4" customHeight="1">
      <c r="A332" s="15"/>
      <c r="B332" s="15"/>
      <c r="C332" s="14"/>
      <c r="D332" s="14"/>
      <c r="E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4" customHeight="1">
      <c r="A333" s="15"/>
      <c r="B333" s="15"/>
      <c r="C333" s="14"/>
      <c r="D333" s="14"/>
      <c r="E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4" customHeight="1">
      <c r="A334" s="15"/>
      <c r="B334" s="15"/>
      <c r="C334" s="14"/>
      <c r="D334" s="14"/>
      <c r="E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4" customHeight="1">
      <c r="A335" s="15"/>
      <c r="B335" s="15"/>
      <c r="C335" s="14"/>
      <c r="D335" s="14"/>
      <c r="E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4" customHeight="1">
      <c r="A336" s="15"/>
      <c r="B336" s="15"/>
      <c r="C336" s="14"/>
      <c r="D336" s="14"/>
      <c r="E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4" customHeight="1">
      <c r="A337" s="15"/>
      <c r="B337" s="15"/>
      <c r="C337" s="14"/>
      <c r="D337" s="14"/>
      <c r="E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4" customHeight="1">
      <c r="A338" s="15"/>
      <c r="B338" s="15"/>
      <c r="C338" s="14"/>
      <c r="D338" s="14"/>
      <c r="E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4" customHeight="1">
      <c r="A339" s="15"/>
      <c r="B339" s="15"/>
      <c r="C339" s="14"/>
      <c r="D339" s="14"/>
      <c r="E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4" customHeight="1">
      <c r="A340" s="15"/>
      <c r="B340" s="15"/>
      <c r="C340" s="14"/>
      <c r="D340" s="14"/>
      <c r="E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4" customHeight="1">
      <c r="A341" s="15"/>
      <c r="B341" s="15"/>
      <c r="C341" s="14"/>
      <c r="D341" s="14"/>
      <c r="E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4" customHeight="1">
      <c r="A342" s="15"/>
      <c r="B342" s="15"/>
      <c r="C342" s="14"/>
      <c r="D342" s="14"/>
      <c r="E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4" customHeight="1">
      <c r="A343" s="15"/>
      <c r="B343" s="15"/>
      <c r="C343" s="14"/>
      <c r="D343" s="14"/>
      <c r="E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4" customHeight="1">
      <c r="A344" s="15"/>
      <c r="B344" s="15"/>
      <c r="C344" s="14"/>
      <c r="D344" s="14"/>
      <c r="E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4" customHeight="1">
      <c r="A345" s="15"/>
      <c r="B345" s="15"/>
      <c r="C345" s="14"/>
      <c r="D345" s="14"/>
      <c r="E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4" customHeight="1">
      <c r="A346" s="15"/>
      <c r="B346" s="15"/>
      <c r="C346" s="14"/>
      <c r="D346" s="14"/>
      <c r="E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4" customHeight="1">
      <c r="A347" s="15"/>
      <c r="B347" s="15"/>
      <c r="C347" s="14"/>
      <c r="D347" s="14"/>
      <c r="E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4" customHeight="1">
      <c r="A348" s="15"/>
      <c r="B348" s="15"/>
      <c r="C348" s="14"/>
      <c r="D348" s="14"/>
      <c r="E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4" customHeight="1">
      <c r="A349" s="15"/>
      <c r="B349" s="15"/>
      <c r="C349" s="14"/>
      <c r="D349" s="14"/>
      <c r="E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4" customHeight="1">
      <c r="A350" s="15"/>
      <c r="B350" s="15"/>
      <c r="C350" s="14"/>
      <c r="D350" s="14"/>
      <c r="E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4" customHeight="1">
      <c r="A351" s="15"/>
      <c r="B351" s="15"/>
      <c r="C351" s="14"/>
      <c r="D351" s="14"/>
      <c r="E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4" customHeight="1">
      <c r="A352" s="15"/>
      <c r="B352" s="15"/>
      <c r="C352" s="14"/>
      <c r="D352" s="14"/>
      <c r="E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4" customHeight="1">
      <c r="A353" s="15"/>
      <c r="B353" s="15"/>
      <c r="C353" s="14"/>
      <c r="D353" s="14"/>
      <c r="E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4" customHeight="1">
      <c r="A354" s="15"/>
      <c r="B354" s="15"/>
      <c r="C354" s="14"/>
      <c r="D354" s="14"/>
      <c r="E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4" customHeight="1">
      <c r="A355" s="15"/>
      <c r="B355" s="15"/>
      <c r="C355" s="14"/>
      <c r="D355" s="14"/>
      <c r="E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4" customHeight="1">
      <c r="A356" s="15"/>
      <c r="B356" s="15"/>
      <c r="C356" s="14"/>
      <c r="D356" s="14"/>
      <c r="E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4" customHeight="1">
      <c r="A357" s="15"/>
      <c r="B357" s="15"/>
      <c r="C357" s="14"/>
      <c r="D357" s="14"/>
      <c r="E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4" customHeight="1">
      <c r="A358" s="15"/>
      <c r="B358" s="15"/>
      <c r="C358" s="14"/>
      <c r="D358" s="14"/>
      <c r="E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4" customHeight="1">
      <c r="A359" s="15"/>
      <c r="B359" s="15"/>
      <c r="C359" s="14"/>
      <c r="D359" s="14"/>
      <c r="E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4" customHeight="1">
      <c r="A360" s="15"/>
      <c r="B360" s="15"/>
      <c r="C360" s="14"/>
      <c r="D360" s="14"/>
      <c r="E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4" customHeight="1">
      <c r="A361" s="15"/>
      <c r="B361" s="15"/>
      <c r="C361" s="14"/>
      <c r="D361" s="14"/>
      <c r="E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4" customHeight="1">
      <c r="A362" s="15"/>
      <c r="B362" s="15"/>
      <c r="C362" s="14"/>
      <c r="D362" s="14"/>
      <c r="E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4" customHeight="1">
      <c r="A363" s="15"/>
      <c r="B363" s="15"/>
      <c r="C363" s="14"/>
      <c r="D363" s="14"/>
      <c r="E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4" customHeight="1">
      <c r="A364" s="15"/>
      <c r="B364" s="15"/>
      <c r="C364" s="14"/>
      <c r="D364" s="14"/>
      <c r="E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4" customHeight="1">
      <c r="A365" s="15"/>
      <c r="B365" s="15"/>
      <c r="C365" s="14"/>
      <c r="D365" s="14"/>
      <c r="E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4" customHeight="1">
      <c r="A366" s="15"/>
      <c r="B366" s="15"/>
      <c r="C366" s="14"/>
      <c r="D366" s="14"/>
      <c r="E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4" customHeight="1">
      <c r="A367" s="15"/>
      <c r="B367" s="15"/>
      <c r="C367" s="14"/>
      <c r="D367" s="14"/>
      <c r="E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4" customHeight="1">
      <c r="A368" s="15"/>
      <c r="B368" s="15"/>
      <c r="C368" s="14"/>
      <c r="D368" s="14"/>
      <c r="E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4" customHeight="1">
      <c r="A369" s="15"/>
      <c r="B369" s="15"/>
      <c r="C369" s="14"/>
      <c r="D369" s="14"/>
      <c r="E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4" customHeight="1">
      <c r="A370" s="15"/>
      <c r="B370" s="15"/>
      <c r="C370" s="14"/>
      <c r="D370" s="14"/>
      <c r="E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4" customHeight="1">
      <c r="A371" s="15"/>
      <c r="B371" s="15"/>
      <c r="C371" s="14"/>
      <c r="D371" s="14"/>
      <c r="E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4" customHeight="1">
      <c r="A372" s="15"/>
      <c r="B372" s="15"/>
      <c r="C372" s="14"/>
      <c r="D372" s="14"/>
      <c r="E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4" customHeight="1">
      <c r="A373" s="15"/>
      <c r="B373" s="15"/>
      <c r="C373" s="14"/>
      <c r="D373" s="14"/>
      <c r="E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4" customHeight="1">
      <c r="A374" s="15"/>
      <c r="B374" s="15"/>
      <c r="C374" s="14"/>
      <c r="D374" s="14"/>
      <c r="E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4" customHeight="1">
      <c r="A375" s="15"/>
      <c r="B375" s="15"/>
      <c r="C375" s="14"/>
      <c r="D375" s="14"/>
      <c r="E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4" customHeight="1">
      <c r="A376" s="15"/>
      <c r="B376" s="15"/>
      <c r="C376" s="14"/>
      <c r="D376" s="14"/>
      <c r="E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4" customHeight="1">
      <c r="A377" s="15"/>
      <c r="B377" s="15"/>
      <c r="C377" s="14"/>
      <c r="D377" s="14"/>
      <c r="E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4" customHeight="1">
      <c r="A378" s="15"/>
      <c r="B378" s="15"/>
      <c r="C378" s="14"/>
      <c r="D378" s="14"/>
      <c r="E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4" customHeight="1">
      <c r="A379" s="15"/>
      <c r="B379" s="15"/>
      <c r="C379" s="14"/>
      <c r="D379" s="14"/>
      <c r="E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4" customHeight="1">
      <c r="A380" s="15"/>
      <c r="B380" s="15"/>
      <c r="C380" s="14"/>
      <c r="D380" s="14"/>
      <c r="E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4" customHeight="1">
      <c r="A381" s="15"/>
      <c r="B381" s="15"/>
      <c r="C381" s="14"/>
      <c r="D381" s="14"/>
      <c r="E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4" customHeight="1">
      <c r="A382" s="15"/>
      <c r="B382" s="15"/>
      <c r="C382" s="14"/>
      <c r="D382" s="14"/>
      <c r="E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4" customHeight="1">
      <c r="A383" s="15"/>
      <c r="B383" s="15"/>
      <c r="C383" s="14"/>
      <c r="D383" s="14"/>
      <c r="E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4" customHeight="1">
      <c r="A384" s="15"/>
      <c r="B384" s="15"/>
      <c r="C384" s="14"/>
      <c r="D384" s="14"/>
      <c r="E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4" customHeight="1">
      <c r="A385" s="15"/>
      <c r="B385" s="15"/>
      <c r="C385" s="14"/>
      <c r="D385" s="14"/>
      <c r="E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4" customHeight="1">
      <c r="A386" s="15"/>
      <c r="B386" s="15"/>
      <c r="C386" s="14"/>
      <c r="D386" s="14"/>
      <c r="E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4" customHeight="1">
      <c r="A387" s="15"/>
      <c r="B387" s="15"/>
      <c r="C387" s="14"/>
      <c r="D387" s="14"/>
      <c r="E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4" customHeight="1">
      <c r="A388" s="15"/>
      <c r="B388" s="15"/>
      <c r="C388" s="14"/>
      <c r="D388" s="14"/>
      <c r="E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4" customHeight="1">
      <c r="A389" s="15"/>
      <c r="B389" s="15"/>
      <c r="C389" s="14"/>
      <c r="D389" s="14"/>
      <c r="E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4" customHeight="1">
      <c r="A390" s="15"/>
      <c r="B390" s="15"/>
      <c r="C390" s="14"/>
      <c r="D390" s="14"/>
      <c r="E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4" customHeight="1">
      <c r="A391" s="15"/>
      <c r="B391" s="15"/>
      <c r="C391" s="14"/>
      <c r="D391" s="14"/>
      <c r="E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4" customHeight="1">
      <c r="A392" s="15"/>
      <c r="B392" s="15"/>
      <c r="C392" s="14"/>
      <c r="D392" s="14"/>
      <c r="E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4" customHeight="1">
      <c r="A393" s="15"/>
      <c r="B393" s="15"/>
      <c r="C393" s="14"/>
      <c r="D393" s="14"/>
      <c r="E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4" customHeight="1">
      <c r="A394" s="15"/>
      <c r="B394" s="15"/>
      <c r="C394" s="14"/>
      <c r="D394" s="14"/>
      <c r="E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4" customHeight="1">
      <c r="A395" s="15"/>
      <c r="B395" s="15"/>
      <c r="C395" s="14"/>
      <c r="D395" s="14"/>
      <c r="E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4" customHeight="1">
      <c r="A396" s="15"/>
      <c r="B396" s="15"/>
      <c r="C396" s="14"/>
      <c r="D396" s="14"/>
      <c r="E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4" customHeight="1">
      <c r="A397" s="15"/>
      <c r="B397" s="15"/>
      <c r="C397" s="14"/>
      <c r="D397" s="14"/>
      <c r="E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4" customHeight="1">
      <c r="A398" s="15"/>
      <c r="B398" s="15"/>
      <c r="C398" s="14"/>
      <c r="D398" s="14"/>
      <c r="E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4" customHeight="1">
      <c r="A399" s="15"/>
      <c r="B399" s="15"/>
      <c r="C399" s="14"/>
      <c r="D399" s="14"/>
      <c r="E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4" customHeight="1">
      <c r="A400" s="15"/>
      <c r="B400" s="15"/>
      <c r="C400" s="14"/>
      <c r="D400" s="14"/>
      <c r="E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4" customHeight="1">
      <c r="A401" s="15"/>
      <c r="B401" s="15"/>
      <c r="C401" s="14"/>
      <c r="D401" s="14"/>
      <c r="E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4" customHeight="1">
      <c r="A402" s="15"/>
      <c r="B402" s="15"/>
      <c r="C402" s="14"/>
      <c r="D402" s="14"/>
      <c r="E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4" customHeight="1">
      <c r="A403" s="15"/>
      <c r="B403" s="15"/>
      <c r="C403" s="14"/>
      <c r="D403" s="14"/>
      <c r="E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4" customHeight="1">
      <c r="A404" s="15"/>
      <c r="B404" s="15"/>
      <c r="C404" s="14"/>
      <c r="D404" s="14"/>
      <c r="E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4" customHeight="1">
      <c r="A405" s="15"/>
      <c r="B405" s="15"/>
      <c r="C405" s="14"/>
      <c r="D405" s="14"/>
      <c r="E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4" customHeight="1">
      <c r="A406" s="15"/>
      <c r="B406" s="15"/>
      <c r="C406" s="14"/>
      <c r="D406" s="14"/>
      <c r="E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4" customHeight="1">
      <c r="A407" s="15"/>
      <c r="B407" s="15"/>
      <c r="C407" s="14"/>
      <c r="D407" s="14"/>
      <c r="E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4" customHeight="1">
      <c r="A408" s="15"/>
      <c r="B408" s="15"/>
      <c r="C408" s="14"/>
      <c r="D408" s="14"/>
      <c r="E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4" customHeight="1">
      <c r="A409" s="15"/>
      <c r="B409" s="15"/>
      <c r="C409" s="14"/>
      <c r="D409" s="14"/>
      <c r="E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4" customHeight="1">
      <c r="A410" s="15"/>
      <c r="B410" s="15"/>
      <c r="C410" s="14"/>
      <c r="D410" s="14"/>
      <c r="E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4" customHeight="1">
      <c r="A411" s="15"/>
      <c r="B411" s="15"/>
      <c r="C411" s="14"/>
      <c r="D411" s="14"/>
      <c r="E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4" customHeight="1">
      <c r="A412" s="15"/>
      <c r="B412" s="15"/>
      <c r="C412" s="14"/>
      <c r="D412" s="14"/>
      <c r="E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4" customHeight="1">
      <c r="A413" s="15"/>
      <c r="B413" s="15"/>
      <c r="C413" s="14"/>
      <c r="D413" s="14"/>
      <c r="E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4" customHeight="1">
      <c r="A414" s="15"/>
      <c r="B414" s="15"/>
      <c r="C414" s="14"/>
      <c r="D414" s="14"/>
      <c r="E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4" customHeight="1">
      <c r="A415" s="15"/>
      <c r="B415" s="15"/>
      <c r="C415" s="14"/>
      <c r="D415" s="14"/>
      <c r="E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4" customHeight="1">
      <c r="A416" s="15"/>
      <c r="B416" s="15"/>
      <c r="C416" s="14"/>
      <c r="D416" s="14"/>
      <c r="E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4" customHeight="1">
      <c r="A417" s="15"/>
      <c r="B417" s="15"/>
      <c r="C417" s="14"/>
      <c r="D417" s="14"/>
      <c r="E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4" customHeight="1">
      <c r="A418" s="15"/>
      <c r="B418" s="15"/>
      <c r="C418" s="14"/>
      <c r="D418" s="14"/>
      <c r="E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4" customHeight="1">
      <c r="A419" s="15"/>
      <c r="B419" s="15"/>
      <c r="C419" s="14"/>
      <c r="D419" s="14"/>
      <c r="E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4" customHeight="1">
      <c r="A420" s="15"/>
      <c r="B420" s="15"/>
      <c r="C420" s="14"/>
      <c r="D420" s="14"/>
      <c r="E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4" customHeight="1">
      <c r="A421" s="15"/>
      <c r="B421" s="15"/>
      <c r="C421" s="14"/>
      <c r="D421" s="14"/>
      <c r="E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4" customHeight="1">
      <c r="A422" s="15"/>
      <c r="B422" s="15"/>
      <c r="C422" s="14"/>
      <c r="D422" s="14"/>
      <c r="E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4" customHeight="1">
      <c r="A423" s="15"/>
      <c r="B423" s="15"/>
      <c r="C423" s="14"/>
      <c r="D423" s="14"/>
      <c r="E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4" customHeight="1">
      <c r="A424" s="15"/>
      <c r="B424" s="15"/>
      <c r="C424" s="14"/>
      <c r="D424" s="14"/>
      <c r="E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4" customHeight="1">
      <c r="A425" s="15"/>
      <c r="B425" s="15"/>
      <c r="C425" s="14"/>
      <c r="D425" s="14"/>
      <c r="E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4" customHeight="1">
      <c r="A426" s="15"/>
      <c r="B426" s="15"/>
      <c r="C426" s="14"/>
      <c r="D426" s="14"/>
      <c r="E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4" customHeight="1">
      <c r="A427" s="15"/>
      <c r="B427" s="15"/>
      <c r="C427" s="14"/>
      <c r="D427" s="14"/>
      <c r="E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4" customHeight="1">
      <c r="A428" s="15"/>
      <c r="B428" s="15"/>
      <c r="C428" s="14"/>
      <c r="D428" s="14"/>
      <c r="E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4" customHeight="1">
      <c r="A429" s="15"/>
      <c r="B429" s="15"/>
      <c r="C429" s="14"/>
      <c r="D429" s="14"/>
      <c r="E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4" customHeight="1">
      <c r="A430" s="15"/>
      <c r="B430" s="15"/>
      <c r="C430" s="14"/>
      <c r="D430" s="14"/>
      <c r="E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4" customHeight="1">
      <c r="A431" s="15"/>
      <c r="B431" s="15"/>
      <c r="C431" s="14"/>
      <c r="D431" s="14"/>
      <c r="E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4" customHeight="1">
      <c r="A432" s="15"/>
      <c r="B432" s="15"/>
      <c r="C432" s="14"/>
      <c r="D432" s="14"/>
      <c r="E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4" customHeight="1">
      <c r="A433" s="15"/>
      <c r="B433" s="15"/>
      <c r="C433" s="14"/>
      <c r="D433" s="14"/>
      <c r="E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4" customHeight="1">
      <c r="A434" s="15"/>
      <c r="B434" s="15"/>
      <c r="C434" s="14"/>
      <c r="D434" s="14"/>
      <c r="E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4" customHeight="1">
      <c r="A435" s="15"/>
      <c r="B435" s="15"/>
      <c r="C435" s="14"/>
      <c r="D435" s="14"/>
      <c r="E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4" customHeight="1">
      <c r="A436" s="15"/>
      <c r="B436" s="15"/>
      <c r="C436" s="14"/>
      <c r="D436" s="14"/>
      <c r="E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4" customHeight="1">
      <c r="A437" s="15"/>
      <c r="B437" s="15"/>
      <c r="C437" s="14"/>
      <c r="D437" s="14"/>
      <c r="E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4" customHeight="1">
      <c r="A438" s="15"/>
      <c r="B438" s="15"/>
      <c r="C438" s="14"/>
      <c r="D438" s="14"/>
      <c r="E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4" customHeight="1">
      <c r="A439" s="15"/>
      <c r="B439" s="15"/>
      <c r="C439" s="14"/>
      <c r="D439" s="14"/>
      <c r="E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4" customHeight="1">
      <c r="A440" s="15"/>
      <c r="B440" s="15"/>
      <c r="C440" s="14"/>
      <c r="D440" s="14"/>
      <c r="E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4" customHeight="1">
      <c r="A441" s="15"/>
      <c r="B441" s="15"/>
      <c r="C441" s="14"/>
      <c r="D441" s="14"/>
      <c r="E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4" customHeight="1">
      <c r="A442" s="15"/>
      <c r="B442" s="15"/>
      <c r="C442" s="14"/>
      <c r="D442" s="14"/>
      <c r="E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4" customHeight="1">
      <c r="A443" s="15"/>
      <c r="B443" s="15"/>
      <c r="C443" s="14"/>
      <c r="D443" s="14"/>
      <c r="E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4" customHeight="1">
      <c r="A444" s="15"/>
      <c r="B444" s="15"/>
      <c r="C444" s="14"/>
      <c r="D444" s="14"/>
      <c r="E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4" customHeight="1">
      <c r="A445" s="15"/>
      <c r="B445" s="15"/>
      <c r="C445" s="14"/>
      <c r="D445" s="14"/>
      <c r="E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4" customHeight="1">
      <c r="A446" s="15"/>
      <c r="B446" s="15"/>
      <c r="C446" s="14"/>
      <c r="D446" s="14"/>
      <c r="E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4" customHeight="1">
      <c r="A447" s="15"/>
      <c r="B447" s="15"/>
      <c r="C447" s="14"/>
      <c r="D447" s="14"/>
      <c r="E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4" customHeight="1">
      <c r="A448" s="15"/>
      <c r="B448" s="15"/>
      <c r="C448" s="14"/>
      <c r="D448" s="14"/>
      <c r="E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 ht="14" customHeight="1">
      <c r="A449" s="15"/>
      <c r="B449" s="15"/>
      <c r="C449" s="14"/>
      <c r="D449" s="14"/>
      <c r="E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 ht="14" customHeight="1">
      <c r="A450" s="15"/>
      <c r="B450" s="15"/>
      <c r="C450" s="14"/>
      <c r="D450" s="14"/>
      <c r="E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 ht="14" customHeight="1">
      <c r="A451" s="15"/>
      <c r="B451" s="15"/>
      <c r="C451" s="14"/>
      <c r="D451" s="14"/>
      <c r="E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 ht="14" customHeight="1">
      <c r="A452" s="15"/>
      <c r="B452" s="15"/>
      <c r="C452" s="14"/>
      <c r="D452" s="14"/>
      <c r="E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 ht="14" customHeight="1">
      <c r="A453" s="15"/>
      <c r="B453" s="15"/>
      <c r="C453" s="14"/>
      <c r="D453" s="14"/>
      <c r="E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 ht="14" customHeight="1">
      <c r="A454" s="15"/>
      <c r="B454" s="15"/>
      <c r="C454" s="14"/>
      <c r="D454" s="14"/>
      <c r="E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 ht="14" customHeight="1">
      <c r="A455" s="15"/>
      <c r="B455" s="15"/>
      <c r="C455" s="14"/>
      <c r="D455" s="14"/>
      <c r="E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 ht="14" customHeight="1">
      <c r="A456" s="15"/>
      <c r="B456" s="15"/>
      <c r="C456" s="14"/>
      <c r="D456" s="14"/>
      <c r="E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 ht="14" customHeight="1">
      <c r="A457" s="15"/>
      <c r="B457" s="15"/>
      <c r="C457" s="14"/>
      <c r="D457" s="14"/>
      <c r="E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 ht="14" customHeight="1">
      <c r="A458" s="15"/>
      <c r="B458" s="15"/>
      <c r="C458" s="14"/>
      <c r="D458" s="14"/>
      <c r="E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 ht="14" customHeight="1">
      <c r="A459" s="15"/>
      <c r="B459" s="15"/>
      <c r="C459" s="14"/>
      <c r="D459" s="14"/>
      <c r="E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 ht="14" customHeight="1">
      <c r="A460" s="15"/>
      <c r="B460" s="15"/>
      <c r="C460" s="14"/>
      <c r="D460" s="14"/>
      <c r="E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 ht="14" customHeight="1">
      <c r="A461" s="15"/>
      <c r="B461" s="15"/>
      <c r="C461" s="14"/>
      <c r="D461" s="14"/>
      <c r="E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 ht="14" customHeight="1">
      <c r="A462" s="15"/>
      <c r="B462" s="15"/>
      <c r="C462" s="14"/>
      <c r="D462" s="14"/>
      <c r="E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 ht="14" customHeight="1">
      <c r="A463" s="15"/>
      <c r="B463" s="15"/>
      <c r="C463" s="14"/>
      <c r="D463" s="14"/>
      <c r="E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 ht="14" customHeight="1">
      <c r="A464" s="15"/>
      <c r="B464" s="15"/>
      <c r="C464" s="14"/>
      <c r="D464" s="14"/>
      <c r="E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 ht="14" customHeight="1">
      <c r="A465" s="15"/>
      <c r="B465" s="15"/>
      <c r="C465" s="14"/>
      <c r="D465" s="14"/>
      <c r="E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 ht="14" customHeight="1">
      <c r="A466" s="15"/>
      <c r="B466" s="15"/>
      <c r="C466" s="14"/>
      <c r="D466" s="14"/>
      <c r="E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 ht="14" customHeight="1">
      <c r="A467" s="15"/>
      <c r="B467" s="15"/>
      <c r="C467" s="14"/>
      <c r="D467" s="14"/>
      <c r="E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 ht="14" customHeight="1">
      <c r="A468" s="15"/>
      <c r="B468" s="15"/>
      <c r="C468" s="14"/>
      <c r="D468" s="14"/>
      <c r="E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 ht="14" customHeight="1">
      <c r="A469" s="15"/>
      <c r="B469" s="15"/>
      <c r="C469" s="14"/>
      <c r="D469" s="14"/>
      <c r="E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 ht="14" customHeight="1">
      <c r="A470" s="15"/>
      <c r="B470" s="15"/>
      <c r="C470" s="14"/>
      <c r="D470" s="14"/>
      <c r="E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 ht="14" customHeight="1">
      <c r="A471" s="15"/>
      <c r="B471" s="15"/>
      <c r="C471" s="14"/>
      <c r="D471" s="14"/>
      <c r="E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 ht="14" customHeight="1">
      <c r="A472" s="15"/>
      <c r="B472" s="15"/>
      <c r="C472" s="14"/>
      <c r="D472" s="14"/>
      <c r="E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 ht="14" customHeight="1">
      <c r="A473" s="15"/>
      <c r="B473" s="15"/>
      <c r="C473" s="14"/>
      <c r="D473" s="14"/>
      <c r="E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 ht="14" customHeight="1">
      <c r="A474" s="15"/>
      <c r="B474" s="15"/>
      <c r="C474" s="14"/>
      <c r="D474" s="14"/>
      <c r="E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 ht="14" customHeight="1">
      <c r="A475" s="15"/>
      <c r="B475" s="15"/>
      <c r="C475" s="14"/>
      <c r="D475" s="14"/>
      <c r="E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 ht="14" customHeight="1">
      <c r="A476" s="15"/>
      <c r="B476" s="15"/>
      <c r="C476" s="14"/>
      <c r="D476" s="14"/>
      <c r="E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 ht="14" customHeight="1">
      <c r="A477" s="15"/>
      <c r="B477" s="15"/>
      <c r="C477" s="14"/>
      <c r="D477" s="14"/>
      <c r="E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 ht="14" customHeight="1">
      <c r="A478" s="15"/>
      <c r="B478" s="15"/>
      <c r="C478" s="14"/>
      <c r="D478" s="14"/>
      <c r="E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 ht="14" customHeight="1">
      <c r="A479" s="15"/>
      <c r="B479" s="15"/>
      <c r="C479" s="14"/>
      <c r="D479" s="14"/>
      <c r="E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 ht="14" customHeight="1">
      <c r="A480" s="15"/>
      <c r="B480" s="15"/>
      <c r="C480" s="14"/>
      <c r="D480" s="14"/>
      <c r="E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 ht="14" customHeight="1">
      <c r="A481" s="15"/>
      <c r="B481" s="15"/>
      <c r="C481" s="14"/>
      <c r="D481" s="14"/>
      <c r="E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 ht="14" customHeight="1">
      <c r="A482" s="15"/>
      <c r="B482" s="15"/>
      <c r="C482" s="14"/>
      <c r="D482" s="14"/>
      <c r="E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 ht="14" customHeight="1">
      <c r="A483" s="15"/>
      <c r="B483" s="15"/>
      <c r="C483" s="14"/>
      <c r="D483" s="14"/>
      <c r="E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 ht="14" customHeight="1">
      <c r="A484" s="15"/>
      <c r="B484" s="15"/>
      <c r="C484" s="14"/>
      <c r="D484" s="14"/>
      <c r="E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 ht="14" customHeight="1">
      <c r="A485" s="15"/>
      <c r="B485" s="15"/>
      <c r="C485" s="14"/>
      <c r="D485" s="14"/>
      <c r="E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 ht="14" customHeight="1">
      <c r="A486" s="15"/>
      <c r="B486" s="15"/>
      <c r="C486" s="14"/>
      <c r="D486" s="14"/>
      <c r="E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 ht="14" customHeight="1">
      <c r="A487" s="15"/>
      <c r="B487" s="15"/>
      <c r="C487" s="14"/>
      <c r="D487" s="14"/>
      <c r="E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 ht="14" customHeight="1">
      <c r="A488" s="15"/>
      <c r="B488" s="15"/>
      <c r="C488" s="14"/>
      <c r="D488" s="14"/>
      <c r="E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 ht="14" customHeight="1">
      <c r="A489" s="15"/>
      <c r="B489" s="15"/>
      <c r="C489" s="14"/>
      <c r="D489" s="14"/>
      <c r="E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 ht="14" customHeight="1">
      <c r="A490" s="15"/>
      <c r="B490" s="15"/>
      <c r="C490" s="14"/>
      <c r="D490" s="14"/>
      <c r="E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 ht="14" customHeight="1">
      <c r="A491" s="15"/>
      <c r="B491" s="15"/>
      <c r="C491" s="14"/>
      <c r="D491" s="14"/>
      <c r="E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 ht="14" customHeight="1">
      <c r="A492" s="15"/>
      <c r="B492" s="15"/>
      <c r="C492" s="14"/>
      <c r="D492" s="14"/>
      <c r="E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 ht="14" customHeight="1">
      <c r="A493" s="15"/>
      <c r="B493" s="15"/>
      <c r="C493" s="14"/>
      <c r="D493" s="14"/>
      <c r="E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 ht="14" customHeight="1">
      <c r="A494" s="15"/>
      <c r="B494" s="15"/>
      <c r="C494" s="14"/>
      <c r="D494" s="14"/>
      <c r="E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 ht="14" customHeight="1">
      <c r="A495" s="15"/>
      <c r="B495" s="15"/>
      <c r="C495" s="14"/>
      <c r="D495" s="14"/>
      <c r="E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 ht="14" customHeight="1">
      <c r="A496" s="15"/>
      <c r="B496" s="15"/>
      <c r="C496" s="14"/>
      <c r="D496" s="14"/>
      <c r="E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 ht="14" customHeight="1">
      <c r="A497" s="15"/>
      <c r="B497" s="15"/>
      <c r="C497" s="14"/>
      <c r="D497" s="14"/>
      <c r="E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 ht="14" customHeight="1">
      <c r="A498" s="15"/>
      <c r="B498" s="15"/>
      <c r="C498" s="14"/>
      <c r="D498" s="14"/>
      <c r="E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 ht="14" customHeight="1">
      <c r="A499" s="15"/>
      <c r="B499" s="15"/>
      <c r="C499" s="14"/>
      <c r="D499" s="14"/>
      <c r="E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 ht="14" customHeight="1">
      <c r="A500" s="15"/>
      <c r="B500" s="15"/>
      <c r="C500" s="14"/>
      <c r="D500" s="14"/>
      <c r="E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 ht="14" customHeight="1">
      <c r="A501" s="15"/>
      <c r="B501" s="15"/>
      <c r="C501" s="14"/>
      <c r="D501" s="14"/>
      <c r="E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 ht="14" customHeight="1">
      <c r="A502" s="15"/>
      <c r="B502" s="15"/>
      <c r="C502" s="14"/>
      <c r="D502" s="14"/>
      <c r="E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 ht="14" customHeight="1">
      <c r="A503" s="15"/>
      <c r="B503" s="15"/>
      <c r="C503" s="14"/>
      <c r="D503" s="14"/>
      <c r="E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 ht="14" customHeight="1">
      <c r="A504" s="15"/>
      <c r="B504" s="15"/>
      <c r="C504" s="14"/>
      <c r="D504" s="14"/>
      <c r="E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 ht="14" customHeight="1">
      <c r="A505" s="15"/>
      <c r="B505" s="15"/>
      <c r="C505" s="14"/>
      <c r="D505" s="14"/>
      <c r="E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 ht="14" customHeight="1">
      <c r="A506" s="15"/>
      <c r="B506" s="15"/>
      <c r="C506" s="14"/>
      <c r="D506" s="14"/>
      <c r="E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 ht="14" customHeight="1">
      <c r="A507" s="15"/>
      <c r="B507" s="15"/>
      <c r="C507" s="14"/>
      <c r="D507" s="14"/>
      <c r="E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 ht="14" customHeight="1">
      <c r="A508" s="15"/>
      <c r="B508" s="15"/>
      <c r="C508" s="14"/>
      <c r="D508" s="14"/>
      <c r="E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 ht="14" customHeight="1">
      <c r="A509" s="15"/>
      <c r="B509" s="15"/>
      <c r="C509" s="14"/>
      <c r="D509" s="14"/>
      <c r="E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 ht="14" customHeight="1">
      <c r="A510" s="15"/>
      <c r="B510" s="15"/>
      <c r="C510" s="14"/>
      <c r="D510" s="14"/>
      <c r="E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 ht="14" customHeight="1">
      <c r="A511" s="15"/>
      <c r="B511" s="15"/>
      <c r="C511" s="14"/>
      <c r="D511" s="14"/>
      <c r="E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 ht="14" customHeight="1">
      <c r="A512" s="15"/>
      <c r="B512" s="15"/>
      <c r="C512" s="14"/>
      <c r="D512" s="14"/>
      <c r="E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 ht="14" customHeight="1">
      <c r="A513" s="15"/>
      <c r="B513" s="15"/>
      <c r="C513" s="14"/>
      <c r="D513" s="14"/>
      <c r="E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 ht="14" customHeight="1">
      <c r="A514" s="15"/>
      <c r="B514" s="15"/>
      <c r="C514" s="14"/>
      <c r="D514" s="14"/>
      <c r="E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 ht="14" customHeight="1">
      <c r="A515" s="15"/>
      <c r="B515" s="15"/>
      <c r="C515" s="14"/>
      <c r="D515" s="14"/>
      <c r="E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 ht="14" customHeight="1">
      <c r="A516" s="15"/>
      <c r="B516" s="15"/>
      <c r="C516" s="14"/>
      <c r="D516" s="14"/>
      <c r="E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 ht="14" customHeight="1">
      <c r="A517" s="15"/>
      <c r="B517" s="15"/>
      <c r="C517" s="14"/>
      <c r="D517" s="14"/>
      <c r="E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 ht="14" customHeight="1">
      <c r="A518" s="15"/>
      <c r="B518" s="15"/>
      <c r="C518" s="14"/>
      <c r="D518" s="14"/>
      <c r="E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 ht="14" customHeight="1">
      <c r="A519" s="15"/>
      <c r="B519" s="15"/>
      <c r="C519" s="14"/>
      <c r="D519" s="14"/>
      <c r="E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 ht="14" customHeight="1">
      <c r="A520" s="15"/>
      <c r="B520" s="15"/>
      <c r="C520" s="14"/>
      <c r="D520" s="14"/>
      <c r="E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 ht="14" customHeight="1">
      <c r="A521" s="15"/>
      <c r="B521" s="15"/>
      <c r="C521" s="14"/>
      <c r="D521" s="14"/>
      <c r="E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 ht="14" customHeight="1">
      <c r="A522" s="15"/>
      <c r="B522" s="15"/>
      <c r="C522" s="14"/>
      <c r="D522" s="14"/>
      <c r="E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 ht="14" customHeight="1">
      <c r="A523" s="15"/>
      <c r="B523" s="15"/>
      <c r="C523" s="14"/>
      <c r="D523" s="14"/>
      <c r="E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14" customHeight="1">
      <c r="A524" s="15"/>
      <c r="B524" s="15"/>
      <c r="C524" s="14"/>
      <c r="D524" s="14"/>
      <c r="E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 ht="14" customHeight="1">
      <c r="A525" s="15"/>
      <c r="B525" s="15"/>
      <c r="C525" s="14"/>
      <c r="D525" s="14"/>
      <c r="E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 ht="14" customHeight="1">
      <c r="A526" s="15"/>
      <c r="B526" s="15"/>
      <c r="C526" s="14"/>
      <c r="D526" s="14"/>
      <c r="E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 ht="14" customHeight="1">
      <c r="A527" s="15"/>
      <c r="B527" s="15"/>
      <c r="C527" s="14"/>
      <c r="D527" s="14"/>
      <c r="E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 ht="14" customHeight="1">
      <c r="A528" s="15"/>
      <c r="B528" s="15"/>
      <c r="C528" s="14"/>
      <c r="D528" s="14"/>
      <c r="E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 ht="14" customHeight="1">
      <c r="A529" s="15"/>
      <c r="B529" s="15"/>
      <c r="C529" s="14"/>
      <c r="D529" s="14"/>
      <c r="E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 ht="14" customHeight="1">
      <c r="A530" s="15"/>
      <c r="B530" s="15"/>
      <c r="C530" s="14"/>
      <c r="D530" s="14"/>
      <c r="E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 ht="14" customHeight="1">
      <c r="A531" s="15"/>
      <c r="B531" s="15"/>
      <c r="C531" s="14"/>
      <c r="D531" s="14"/>
      <c r="E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 ht="14" customHeight="1">
      <c r="A532" s="15"/>
      <c r="B532" s="15"/>
      <c r="C532" s="14"/>
      <c r="D532" s="14"/>
      <c r="E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 ht="14" customHeight="1">
      <c r="A533" s="15"/>
      <c r="B533" s="15"/>
      <c r="C533" s="14"/>
      <c r="D533" s="14"/>
      <c r="E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 ht="14" customHeight="1">
      <c r="A534" s="15"/>
      <c r="B534" s="15"/>
      <c r="C534" s="14"/>
      <c r="D534" s="14"/>
      <c r="E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 ht="14" customHeight="1">
      <c r="A535" s="15"/>
      <c r="B535" s="15"/>
      <c r="C535" s="14"/>
      <c r="D535" s="14"/>
      <c r="E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 ht="14" customHeight="1">
      <c r="A536" s="15"/>
      <c r="B536" s="15"/>
      <c r="C536" s="14"/>
      <c r="D536" s="14"/>
      <c r="E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 ht="14" customHeight="1">
      <c r="A537" s="15"/>
      <c r="B537" s="15"/>
      <c r="C537" s="14"/>
      <c r="D537" s="14"/>
      <c r="E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 ht="14" customHeight="1">
      <c r="A538" s="15"/>
      <c r="B538" s="15"/>
      <c r="C538" s="14"/>
      <c r="D538" s="14"/>
      <c r="E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 ht="14" customHeight="1">
      <c r="A539" s="15"/>
      <c r="B539" s="15"/>
      <c r="C539" s="14"/>
      <c r="D539" s="14"/>
      <c r="E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 ht="14" customHeight="1">
      <c r="A540" s="15"/>
      <c r="B540" s="15"/>
      <c r="C540" s="14"/>
      <c r="D540" s="14"/>
      <c r="E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 ht="14" customHeight="1">
      <c r="A541" s="15"/>
      <c r="B541" s="15"/>
      <c r="C541" s="14"/>
      <c r="D541" s="14"/>
      <c r="E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 ht="14" customHeight="1">
      <c r="A542" s="15"/>
      <c r="B542" s="15"/>
      <c r="C542" s="14"/>
      <c r="D542" s="14"/>
      <c r="E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 ht="14" customHeight="1">
      <c r="A543" s="15"/>
      <c r="B543" s="15"/>
      <c r="C543" s="14"/>
      <c r="D543" s="14"/>
      <c r="E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 ht="14" customHeight="1">
      <c r="A544" s="15"/>
      <c r="B544" s="15"/>
      <c r="C544" s="14"/>
      <c r="D544" s="14"/>
      <c r="E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 ht="14" customHeight="1">
      <c r="A545" s="15"/>
      <c r="B545" s="15"/>
      <c r="C545" s="14"/>
      <c r="D545" s="14"/>
      <c r="E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 ht="14" customHeight="1">
      <c r="A546" s="15"/>
      <c r="B546" s="15"/>
      <c r="C546" s="14"/>
      <c r="D546" s="14"/>
      <c r="E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 ht="14" customHeight="1">
      <c r="A547" s="15"/>
      <c r="B547" s="15"/>
      <c r="C547" s="14"/>
      <c r="D547" s="14"/>
      <c r="E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 ht="14" customHeight="1">
      <c r="A548" s="15"/>
      <c r="B548" s="15"/>
      <c r="C548" s="14"/>
      <c r="D548" s="14"/>
      <c r="E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 ht="14" customHeight="1">
      <c r="A549" s="15"/>
      <c r="B549" s="15"/>
      <c r="C549" s="14"/>
      <c r="D549" s="14"/>
      <c r="E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 ht="14" customHeight="1">
      <c r="A550" s="15"/>
      <c r="B550" s="15"/>
      <c r="C550" s="14"/>
      <c r="D550" s="14"/>
      <c r="E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 ht="14" customHeight="1">
      <c r="A551" s="15"/>
      <c r="B551" s="15"/>
      <c r="C551" s="14"/>
      <c r="D551" s="14"/>
      <c r="E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 ht="14" customHeight="1">
      <c r="A552" s="15"/>
      <c r="B552" s="15"/>
      <c r="C552" s="14"/>
      <c r="D552" s="14"/>
      <c r="E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 ht="14" customHeight="1">
      <c r="A553" s="15"/>
      <c r="B553" s="15"/>
      <c r="C553" s="14"/>
      <c r="D553" s="14"/>
      <c r="E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 ht="14" customHeight="1">
      <c r="A554" s="15"/>
      <c r="B554" s="15"/>
      <c r="C554" s="14"/>
      <c r="D554" s="14"/>
      <c r="E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 ht="14" customHeight="1">
      <c r="A555" s="15"/>
      <c r="B555" s="15"/>
      <c r="C555" s="14"/>
      <c r="D555" s="14"/>
      <c r="E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4" customHeight="1">
      <c r="A556" s="15"/>
      <c r="B556" s="15"/>
      <c r="C556" s="14"/>
      <c r="D556" s="14"/>
      <c r="E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 ht="14" customHeight="1">
      <c r="A557" s="15"/>
      <c r="B557" s="15"/>
      <c r="C557" s="14"/>
      <c r="D557" s="14"/>
      <c r="E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14" customHeight="1">
      <c r="A558" s="15"/>
      <c r="B558" s="15"/>
      <c r="C558" s="14"/>
      <c r="D558" s="14"/>
      <c r="E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 ht="14" customHeight="1">
      <c r="A559" s="15"/>
      <c r="B559" s="15"/>
      <c r="C559" s="14"/>
      <c r="D559" s="14"/>
      <c r="E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 ht="14" customHeight="1">
      <c r="A560" s="15"/>
      <c r="B560" s="15"/>
      <c r="C560" s="14"/>
      <c r="D560" s="14"/>
      <c r="E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 ht="14" customHeight="1">
      <c r="A561" s="15"/>
      <c r="B561" s="15"/>
      <c r="C561" s="14"/>
      <c r="D561" s="14"/>
      <c r="E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 ht="14" customHeight="1">
      <c r="A562" s="15"/>
      <c r="B562" s="15"/>
      <c r="C562" s="14"/>
      <c r="D562" s="14"/>
      <c r="E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 ht="14" customHeight="1">
      <c r="A563" s="15"/>
      <c r="B563" s="15"/>
      <c r="C563" s="14"/>
      <c r="D563" s="14"/>
      <c r="E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 ht="14" customHeight="1">
      <c r="A564" s="15"/>
      <c r="B564" s="15"/>
      <c r="C564" s="14"/>
      <c r="D564" s="14"/>
      <c r="E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 ht="14" customHeight="1">
      <c r="A565" s="15"/>
      <c r="B565" s="15"/>
      <c r="C565" s="14"/>
      <c r="D565" s="14"/>
      <c r="E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 ht="14" customHeight="1">
      <c r="A566" s="15"/>
      <c r="B566" s="15"/>
      <c r="C566" s="14"/>
      <c r="D566" s="14"/>
      <c r="E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 ht="14" customHeight="1">
      <c r="A567" s="15"/>
      <c r="B567" s="15"/>
      <c r="C567" s="14"/>
      <c r="D567" s="14"/>
      <c r="E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 ht="14" customHeight="1">
      <c r="A568" s="15"/>
      <c r="B568" s="15"/>
      <c r="C568" s="14"/>
      <c r="D568" s="14"/>
      <c r="E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 ht="14" customHeight="1">
      <c r="A569" s="15"/>
      <c r="B569" s="15"/>
      <c r="C569" s="14"/>
      <c r="D569" s="14"/>
      <c r="E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 ht="14" customHeight="1">
      <c r="A570" s="15"/>
      <c r="B570" s="15"/>
      <c r="C570" s="14"/>
      <c r="D570" s="14"/>
      <c r="E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 ht="14" customHeight="1">
      <c r="A571" s="15"/>
      <c r="B571" s="15"/>
      <c r="C571" s="14"/>
      <c r="D571" s="14"/>
      <c r="E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 ht="14" customHeight="1">
      <c r="A572" s="15"/>
      <c r="B572" s="15"/>
      <c r="C572" s="14"/>
      <c r="D572" s="14"/>
      <c r="E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 ht="14" customHeight="1">
      <c r="A573" s="15"/>
      <c r="B573" s="15"/>
      <c r="C573" s="14"/>
      <c r="D573" s="14"/>
      <c r="E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 ht="14" customHeight="1">
      <c r="A574" s="15"/>
      <c r="B574" s="15"/>
      <c r="C574" s="14"/>
      <c r="D574" s="14"/>
      <c r="E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 ht="14" customHeight="1">
      <c r="A575" s="15"/>
      <c r="B575" s="15"/>
      <c r="C575" s="14"/>
      <c r="D575" s="14"/>
      <c r="E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 ht="14" customHeight="1">
      <c r="A576" s="15"/>
      <c r="B576" s="15"/>
      <c r="C576" s="14"/>
      <c r="D576" s="14"/>
      <c r="E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 ht="14" customHeight="1">
      <c r="A577" s="15"/>
      <c r="B577" s="15"/>
      <c r="C577" s="14"/>
      <c r="D577" s="14"/>
      <c r="E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 ht="14" customHeight="1">
      <c r="A578" s="15"/>
      <c r="B578" s="15"/>
      <c r="C578" s="14"/>
      <c r="D578" s="14"/>
      <c r="E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 ht="14" customHeight="1">
      <c r="A579" s="15"/>
      <c r="B579" s="15"/>
      <c r="C579" s="14"/>
      <c r="D579" s="14"/>
      <c r="E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 ht="14" customHeight="1">
      <c r="A580" s="15"/>
      <c r="B580" s="15"/>
      <c r="C580" s="14"/>
      <c r="D580" s="14"/>
      <c r="E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 ht="14" customHeight="1">
      <c r="A581" s="15"/>
      <c r="B581" s="15"/>
      <c r="C581" s="14"/>
      <c r="D581" s="14"/>
      <c r="E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 ht="14" customHeight="1">
      <c r="A582" s="15"/>
      <c r="B582" s="15"/>
      <c r="C582" s="14"/>
      <c r="D582" s="14"/>
      <c r="E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 ht="14" customHeight="1">
      <c r="A583" s="15"/>
      <c r="B583" s="15"/>
      <c r="C583" s="14"/>
      <c r="D583" s="14"/>
      <c r="E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 ht="14" customHeight="1">
      <c r="A584" s="15"/>
      <c r="B584" s="15"/>
      <c r="C584" s="14"/>
      <c r="D584" s="14"/>
      <c r="E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 ht="14" customHeight="1">
      <c r="A585" s="15"/>
      <c r="B585" s="15"/>
      <c r="C585" s="14"/>
      <c r="D585" s="14"/>
      <c r="E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 ht="14" customHeight="1">
      <c r="A586" s="15"/>
      <c r="B586" s="15"/>
      <c r="C586" s="14"/>
      <c r="D586" s="14"/>
      <c r="E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 ht="14" customHeight="1">
      <c r="A587" s="15"/>
      <c r="B587" s="15"/>
      <c r="C587" s="14"/>
      <c r="D587" s="14"/>
      <c r="E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 ht="14" customHeight="1">
      <c r="A588" s="15"/>
      <c r="B588" s="15"/>
      <c r="C588" s="14"/>
      <c r="D588" s="14"/>
      <c r="E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 ht="14" customHeight="1">
      <c r="A589" s="15"/>
      <c r="B589" s="15"/>
      <c r="C589" s="14"/>
      <c r="D589" s="14"/>
      <c r="E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 ht="14" customHeight="1">
      <c r="A590" s="15"/>
      <c r="B590" s="15"/>
      <c r="C590" s="14"/>
      <c r="D590" s="14"/>
      <c r="E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 ht="14" customHeight="1">
      <c r="A591" s="15"/>
      <c r="B591" s="15"/>
      <c r="C591" s="14"/>
      <c r="D591" s="14"/>
      <c r="E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 ht="14" customHeight="1">
      <c r="A592" s="15"/>
      <c r="B592" s="15"/>
      <c r="C592" s="14"/>
      <c r="D592" s="14"/>
      <c r="E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 ht="14" customHeight="1">
      <c r="A593" s="15"/>
      <c r="B593" s="15"/>
      <c r="C593" s="14"/>
      <c r="D593" s="14"/>
      <c r="E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 ht="14" customHeight="1">
      <c r="A594" s="15"/>
      <c r="B594" s="15"/>
      <c r="C594" s="14"/>
      <c r="D594" s="14"/>
      <c r="E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 ht="14" customHeight="1">
      <c r="A595" s="15"/>
      <c r="B595" s="15"/>
      <c r="C595" s="14"/>
      <c r="D595" s="14"/>
      <c r="E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 ht="14" customHeight="1">
      <c r="A596" s="15"/>
      <c r="B596" s="15"/>
      <c r="C596" s="14"/>
      <c r="D596" s="14"/>
      <c r="E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 ht="14" customHeight="1">
      <c r="A597" s="15"/>
      <c r="B597" s="15"/>
      <c r="C597" s="14"/>
      <c r="D597" s="14"/>
      <c r="E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 ht="14" customHeight="1">
      <c r="A598" s="15"/>
      <c r="B598" s="15"/>
      <c r="C598" s="14"/>
      <c r="D598" s="14"/>
      <c r="E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 ht="14" customHeight="1">
      <c r="A599" s="15"/>
      <c r="B599" s="15"/>
      <c r="C599" s="14"/>
      <c r="D599" s="14"/>
      <c r="E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 ht="14" customHeight="1">
      <c r="A600" s="15"/>
      <c r="B600" s="15"/>
      <c r="C600" s="14"/>
      <c r="D600" s="14"/>
      <c r="E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 ht="14" customHeight="1">
      <c r="A601" s="15"/>
      <c r="B601" s="15"/>
      <c r="C601" s="14"/>
      <c r="D601" s="14"/>
      <c r="E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 ht="14" customHeight="1">
      <c r="A602" s="15"/>
      <c r="B602" s="15"/>
      <c r="C602" s="14"/>
      <c r="D602" s="14"/>
      <c r="E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 ht="14" customHeight="1">
      <c r="A603" s="15"/>
      <c r="B603" s="15"/>
      <c r="C603" s="14"/>
      <c r="D603" s="14"/>
      <c r="E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 ht="14" customHeight="1">
      <c r="A604" s="15"/>
      <c r="B604" s="15"/>
      <c r="C604" s="14"/>
      <c r="D604" s="14"/>
      <c r="E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 ht="14" customHeight="1">
      <c r="A605" s="15"/>
      <c r="B605" s="15"/>
      <c r="C605" s="14"/>
      <c r="D605" s="14"/>
      <c r="E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 ht="14" customHeight="1">
      <c r="A606" s="15"/>
      <c r="B606" s="15"/>
      <c r="C606" s="14"/>
      <c r="D606" s="14"/>
      <c r="E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 ht="14" customHeight="1">
      <c r="A607" s="15"/>
      <c r="B607" s="15"/>
      <c r="C607" s="14"/>
      <c r="D607" s="14"/>
      <c r="E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 ht="14" customHeight="1">
      <c r="A608" s="15"/>
      <c r="B608" s="15"/>
      <c r="C608" s="14"/>
      <c r="D608" s="14"/>
      <c r="E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 ht="14" customHeight="1">
      <c r="A609" s="15"/>
      <c r="B609" s="15"/>
      <c r="C609" s="14"/>
      <c r="D609" s="14"/>
      <c r="E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 ht="14" customHeight="1">
      <c r="A610" s="15"/>
      <c r="B610" s="15"/>
      <c r="C610" s="14"/>
      <c r="D610" s="14"/>
      <c r="E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 ht="14" customHeight="1">
      <c r="A611" s="15"/>
      <c r="B611" s="15"/>
      <c r="C611" s="14"/>
      <c r="D611" s="14"/>
      <c r="E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 ht="14" customHeight="1">
      <c r="A612" s="15"/>
      <c r="B612" s="15"/>
      <c r="C612" s="14"/>
      <c r="D612" s="14"/>
      <c r="E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 ht="14" customHeight="1">
      <c r="A613" s="15"/>
      <c r="B613" s="15"/>
      <c r="C613" s="14"/>
      <c r="D613" s="14"/>
      <c r="E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 ht="14" customHeight="1">
      <c r="A614" s="15"/>
      <c r="B614" s="15"/>
      <c r="C614" s="14"/>
      <c r="D614" s="14"/>
      <c r="E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 ht="14" customHeight="1">
      <c r="A615" s="15"/>
      <c r="B615" s="15"/>
      <c r="C615" s="14"/>
      <c r="D615" s="14"/>
      <c r="E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 ht="14" customHeight="1">
      <c r="A616" s="15"/>
      <c r="B616" s="15"/>
      <c r="C616" s="14"/>
      <c r="D616" s="14"/>
      <c r="E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 ht="14" customHeight="1">
      <c r="A617" s="15"/>
      <c r="B617" s="15"/>
      <c r="C617" s="14"/>
      <c r="D617" s="14"/>
      <c r="E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 ht="14" customHeight="1">
      <c r="A618" s="15"/>
      <c r="B618" s="15"/>
      <c r="C618" s="14"/>
      <c r="D618" s="14"/>
      <c r="E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 ht="14" customHeight="1">
      <c r="A619" s="15"/>
      <c r="B619" s="15"/>
      <c r="C619" s="14"/>
      <c r="D619" s="14"/>
      <c r="E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 ht="14" customHeight="1">
      <c r="A620" s="15"/>
      <c r="B620" s="15"/>
      <c r="C620" s="14"/>
      <c r="D620" s="14"/>
      <c r="E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 ht="14" customHeight="1">
      <c r="A621" s="15"/>
      <c r="B621" s="15"/>
      <c r="C621" s="14"/>
      <c r="D621" s="14"/>
      <c r="E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 ht="14" customHeight="1">
      <c r="A622" s="15"/>
      <c r="B622" s="15"/>
      <c r="C622" s="14"/>
      <c r="D622" s="14"/>
      <c r="E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 ht="14" customHeight="1">
      <c r="A623" s="15"/>
      <c r="B623" s="15"/>
      <c r="C623" s="14"/>
      <c r="D623" s="14"/>
      <c r="E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 ht="14" customHeight="1">
      <c r="A624" s="15"/>
      <c r="B624" s="15"/>
      <c r="C624" s="14"/>
      <c r="D624" s="14"/>
      <c r="E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 ht="14" customHeight="1">
      <c r="A625" s="15"/>
      <c r="B625" s="15"/>
      <c r="C625" s="14"/>
      <c r="D625" s="14"/>
      <c r="E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 ht="14" customHeight="1">
      <c r="A626" s="15"/>
      <c r="B626" s="15"/>
      <c r="C626" s="14"/>
      <c r="D626" s="14"/>
      <c r="E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 ht="14" customHeight="1">
      <c r="A627" s="15"/>
      <c r="B627" s="15"/>
      <c r="C627" s="14"/>
      <c r="D627" s="14"/>
      <c r="E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 ht="14" customHeight="1">
      <c r="A628" s="15"/>
      <c r="B628" s="15"/>
      <c r="C628" s="14"/>
      <c r="D628" s="14"/>
      <c r="E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 ht="14" customHeight="1">
      <c r="A629" s="15"/>
      <c r="B629" s="15"/>
      <c r="C629" s="14"/>
      <c r="D629" s="14"/>
      <c r="E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 ht="14" customHeight="1">
      <c r="A630" s="15"/>
      <c r="B630" s="15"/>
      <c r="C630" s="14"/>
      <c r="D630" s="14"/>
      <c r="E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 ht="14" customHeight="1">
      <c r="A631" s="15"/>
      <c r="B631" s="15"/>
      <c r="C631" s="14"/>
      <c r="D631" s="14"/>
      <c r="E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 ht="14" customHeight="1">
      <c r="A632" s="15"/>
      <c r="B632" s="15"/>
      <c r="C632" s="14"/>
      <c r="D632" s="14"/>
      <c r="E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 ht="14" customHeight="1">
      <c r="A633" s="15"/>
      <c r="B633" s="15"/>
      <c r="C633" s="14"/>
      <c r="D633" s="14"/>
      <c r="E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 ht="14" customHeight="1">
      <c r="A634" s="15"/>
      <c r="B634" s="15"/>
      <c r="C634" s="14"/>
      <c r="D634" s="14"/>
      <c r="E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 ht="14" customHeight="1">
      <c r="A635" s="15"/>
      <c r="B635" s="15"/>
      <c r="C635" s="14"/>
      <c r="D635" s="14"/>
      <c r="E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 ht="14" customHeight="1">
      <c r="A636" s="15"/>
      <c r="B636" s="15"/>
      <c r="C636" s="14"/>
      <c r="D636" s="14"/>
      <c r="E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 ht="14" customHeight="1">
      <c r="A637" s="15"/>
      <c r="B637" s="15"/>
      <c r="C637" s="14"/>
      <c r="D637" s="14"/>
      <c r="E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 ht="14" customHeight="1">
      <c r="A638" s="15"/>
      <c r="B638" s="15"/>
      <c r="C638" s="14"/>
      <c r="D638" s="14"/>
      <c r="E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 ht="14" customHeight="1">
      <c r="A639" s="15"/>
      <c r="B639" s="15"/>
      <c r="C639" s="14"/>
      <c r="D639" s="14"/>
      <c r="E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 ht="14" customHeight="1">
      <c r="A640" s="15"/>
      <c r="B640" s="15"/>
      <c r="C640" s="14"/>
      <c r="D640" s="14"/>
      <c r="E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 ht="14" customHeight="1">
      <c r="A641" s="15"/>
      <c r="B641" s="15"/>
      <c r="C641" s="14"/>
      <c r="D641" s="14"/>
      <c r="E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 ht="14" customHeight="1">
      <c r="A642" s="15"/>
      <c r="B642" s="15"/>
      <c r="C642" s="14"/>
      <c r="D642" s="14"/>
      <c r="E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 ht="14" customHeight="1">
      <c r="A643" s="15"/>
      <c r="B643" s="15"/>
      <c r="C643" s="14"/>
      <c r="D643" s="14"/>
      <c r="E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 ht="14" customHeight="1">
      <c r="A644" s="15"/>
      <c r="B644" s="15"/>
      <c r="C644" s="14"/>
      <c r="D644" s="14"/>
      <c r="E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 ht="14" customHeight="1">
      <c r="A645" s="15"/>
      <c r="B645" s="15"/>
      <c r="C645" s="14"/>
      <c r="D645" s="14"/>
      <c r="E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 ht="14" customHeight="1">
      <c r="A646" s="15"/>
      <c r="B646" s="15"/>
      <c r="C646" s="14"/>
      <c r="D646" s="14"/>
      <c r="E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 ht="14" customHeight="1">
      <c r="A647" s="15"/>
      <c r="B647" s="15"/>
      <c r="C647" s="14"/>
      <c r="D647" s="14"/>
      <c r="E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 ht="14" customHeight="1">
      <c r="A648" s="15"/>
      <c r="B648" s="15"/>
      <c r="C648" s="14"/>
      <c r="D648" s="14"/>
      <c r="E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 ht="14" customHeight="1">
      <c r="A649" s="15"/>
      <c r="B649" s="15"/>
      <c r="C649" s="14"/>
      <c r="D649" s="14"/>
      <c r="E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 ht="14" customHeight="1">
      <c r="A650" s="15"/>
      <c r="B650" s="15"/>
      <c r="C650" s="14"/>
      <c r="D650" s="14"/>
      <c r="E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 ht="14" customHeight="1">
      <c r="A651" s="15"/>
      <c r="B651" s="15"/>
      <c r="C651" s="14"/>
      <c r="D651" s="14"/>
      <c r="E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 ht="14" customHeight="1">
      <c r="A652" s="15"/>
      <c r="B652" s="15"/>
      <c r="C652" s="14"/>
      <c r="D652" s="14"/>
      <c r="E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 ht="14" customHeight="1">
      <c r="A653" s="15"/>
      <c r="B653" s="15"/>
      <c r="C653" s="14"/>
      <c r="D653" s="14"/>
      <c r="E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 ht="14" customHeight="1">
      <c r="A654" s="15"/>
      <c r="B654" s="15"/>
      <c r="C654" s="14"/>
      <c r="D654" s="14"/>
      <c r="E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 ht="14" customHeight="1">
      <c r="A655" s="15"/>
      <c r="B655" s="15"/>
      <c r="C655" s="14"/>
      <c r="D655" s="14"/>
      <c r="E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 ht="14" customHeight="1">
      <c r="A656" s="15"/>
      <c r="B656" s="15"/>
      <c r="C656" s="14"/>
      <c r="D656" s="14"/>
      <c r="E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 ht="14" customHeight="1">
      <c r="A657" s="15"/>
      <c r="B657" s="15"/>
      <c r="C657" s="14"/>
      <c r="D657" s="14"/>
      <c r="E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 ht="14" customHeight="1">
      <c r="A658" s="15"/>
      <c r="B658" s="15"/>
      <c r="C658" s="14"/>
      <c r="D658" s="14"/>
      <c r="E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 ht="14" customHeight="1">
      <c r="A659" s="15"/>
      <c r="B659" s="15"/>
      <c r="C659" s="14"/>
      <c r="D659" s="14"/>
      <c r="E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14" customHeight="1">
      <c r="A660" s="15"/>
      <c r="B660" s="15"/>
      <c r="C660" s="14"/>
      <c r="D660" s="14"/>
      <c r="E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 ht="14" customHeight="1">
      <c r="A661" s="15"/>
      <c r="B661" s="15"/>
      <c r="C661" s="14"/>
      <c r="D661" s="14"/>
      <c r="E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 ht="14" customHeight="1">
      <c r="A662" s="15"/>
      <c r="B662" s="15"/>
      <c r="C662" s="14"/>
      <c r="D662" s="14"/>
      <c r="E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 ht="14" customHeight="1">
      <c r="A663" s="15"/>
      <c r="B663" s="15"/>
      <c r="C663" s="14"/>
      <c r="D663" s="14"/>
      <c r="E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 ht="14" customHeight="1">
      <c r="A664" s="15"/>
      <c r="B664" s="15"/>
      <c r="C664" s="14"/>
      <c r="D664" s="14"/>
      <c r="E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 ht="14" customHeight="1">
      <c r="A665" s="15"/>
      <c r="B665" s="15"/>
      <c r="C665" s="14"/>
      <c r="D665" s="14"/>
      <c r="E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 ht="14" customHeight="1">
      <c r="A666" s="15"/>
      <c r="B666" s="15"/>
      <c r="C666" s="14"/>
      <c r="D666" s="14"/>
      <c r="E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 ht="14" customHeight="1">
      <c r="A667" s="15"/>
      <c r="B667" s="15"/>
      <c r="C667" s="14"/>
      <c r="D667" s="14"/>
      <c r="E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 ht="14" customHeight="1">
      <c r="A668" s="15"/>
      <c r="B668" s="15"/>
      <c r="C668" s="14"/>
      <c r="D668" s="14"/>
      <c r="E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 ht="14" customHeight="1">
      <c r="A669" s="15"/>
      <c r="B669" s="15"/>
      <c r="C669" s="14"/>
      <c r="D669" s="14"/>
      <c r="E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14" customHeight="1">
      <c r="A670" s="15"/>
      <c r="B670" s="15"/>
      <c r="C670" s="14"/>
      <c r="D670" s="14"/>
      <c r="E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 ht="14" customHeight="1">
      <c r="A671" s="15"/>
      <c r="B671" s="15"/>
      <c r="C671" s="14"/>
      <c r="D671" s="14"/>
      <c r="E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 ht="14" customHeight="1">
      <c r="A672" s="15"/>
      <c r="B672" s="15"/>
      <c r="C672" s="14"/>
      <c r="D672" s="14"/>
      <c r="E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 ht="14" customHeight="1">
      <c r="A673" s="15"/>
      <c r="B673" s="15"/>
      <c r="C673" s="14"/>
      <c r="D673" s="14"/>
      <c r="E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 ht="14" customHeight="1">
      <c r="A674" s="15"/>
      <c r="B674" s="15"/>
      <c r="C674" s="14"/>
      <c r="D674" s="14"/>
      <c r="E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 ht="14" customHeight="1">
      <c r="A675" s="15"/>
      <c r="B675" s="15"/>
      <c r="C675" s="14"/>
      <c r="D675" s="14"/>
      <c r="E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 ht="14" customHeight="1">
      <c r="A676" s="15"/>
      <c r="B676" s="15"/>
      <c r="C676" s="14"/>
      <c r="D676" s="14"/>
      <c r="E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 ht="14" customHeight="1">
      <c r="A677" s="15"/>
      <c r="B677" s="15"/>
      <c r="C677" s="14"/>
      <c r="D677" s="14"/>
      <c r="E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 ht="14" customHeight="1">
      <c r="A678" s="15"/>
      <c r="B678" s="15"/>
      <c r="C678" s="14"/>
      <c r="D678" s="14"/>
      <c r="E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 ht="14" customHeight="1">
      <c r="A679" s="15"/>
      <c r="B679" s="15"/>
      <c r="C679" s="14"/>
      <c r="D679" s="14"/>
      <c r="E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 ht="14" customHeight="1">
      <c r="A680" s="15"/>
      <c r="B680" s="15"/>
      <c r="C680" s="14"/>
      <c r="D680" s="14"/>
      <c r="E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 ht="14" customHeight="1">
      <c r="A681" s="15"/>
      <c r="B681" s="15"/>
      <c r="C681" s="14"/>
      <c r="D681" s="14"/>
      <c r="E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 ht="14" customHeight="1">
      <c r="A682" s="15"/>
      <c r="B682" s="15"/>
      <c r="C682" s="14"/>
      <c r="D682" s="14"/>
      <c r="E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 ht="14" customHeight="1">
      <c r="A683" s="15"/>
      <c r="B683" s="15"/>
      <c r="C683" s="14"/>
      <c r="D683" s="14"/>
      <c r="E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 ht="14" customHeight="1">
      <c r="A684" s="15"/>
      <c r="B684" s="15"/>
      <c r="C684" s="14"/>
      <c r="D684" s="14"/>
      <c r="E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 ht="14" customHeight="1">
      <c r="A685" s="15"/>
      <c r="B685" s="15"/>
      <c r="C685" s="14"/>
      <c r="D685" s="14"/>
      <c r="E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 ht="14" customHeight="1">
      <c r="A686" s="15"/>
      <c r="B686" s="15"/>
      <c r="C686" s="14"/>
      <c r="D686" s="14"/>
      <c r="E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 ht="14" customHeight="1">
      <c r="A687" s="15"/>
      <c r="B687" s="15"/>
      <c r="C687" s="14"/>
      <c r="D687" s="14"/>
      <c r="E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 ht="14" customHeight="1">
      <c r="A688" s="15"/>
      <c r="B688" s="15"/>
      <c r="C688" s="14"/>
      <c r="D688" s="14"/>
      <c r="E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 ht="14" customHeight="1">
      <c r="A689" s="15"/>
      <c r="B689" s="15"/>
      <c r="C689" s="14"/>
      <c r="D689" s="14"/>
      <c r="E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 ht="14" customHeight="1">
      <c r="A690" s="15"/>
      <c r="B690" s="15"/>
      <c r="C690" s="14"/>
      <c r="D690" s="14"/>
      <c r="E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 ht="14" customHeight="1">
      <c r="A691" s="15"/>
      <c r="B691" s="15"/>
      <c r="C691" s="14"/>
      <c r="D691" s="14"/>
      <c r="E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 ht="14" customHeight="1">
      <c r="A692" s="15"/>
      <c r="B692" s="15"/>
      <c r="C692" s="14"/>
      <c r="D692" s="14"/>
      <c r="E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 ht="14" customHeight="1">
      <c r="A693" s="15"/>
      <c r="B693" s="15"/>
      <c r="C693" s="14"/>
      <c r="D693" s="14"/>
      <c r="E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 ht="14" customHeight="1">
      <c r="A694" s="15"/>
      <c r="B694" s="15"/>
      <c r="C694" s="14"/>
      <c r="D694" s="14"/>
      <c r="E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 ht="14" customHeight="1">
      <c r="A695" s="15"/>
      <c r="B695" s="15"/>
      <c r="C695" s="14"/>
      <c r="D695" s="14"/>
      <c r="E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 ht="14" customHeight="1">
      <c r="A696" s="15"/>
      <c r="B696" s="15"/>
      <c r="C696" s="14"/>
      <c r="D696" s="14"/>
      <c r="E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 ht="14" customHeight="1">
      <c r="A697" s="15"/>
      <c r="B697" s="15"/>
      <c r="C697" s="14"/>
      <c r="D697" s="14"/>
      <c r="E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 ht="14" customHeight="1">
      <c r="A698" s="15"/>
      <c r="B698" s="15"/>
      <c r="C698" s="14"/>
      <c r="D698" s="14"/>
      <c r="E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 ht="14" customHeight="1">
      <c r="A699" s="15"/>
      <c r="B699" s="15"/>
      <c r="C699" s="14"/>
      <c r="D699" s="14"/>
      <c r="E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 ht="14" customHeight="1">
      <c r="A700" s="15"/>
      <c r="B700" s="15"/>
      <c r="C700" s="14"/>
      <c r="D700" s="14"/>
      <c r="E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 ht="14" customHeight="1">
      <c r="A701" s="15"/>
      <c r="B701" s="15"/>
      <c r="C701" s="14"/>
      <c r="D701" s="14"/>
      <c r="E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 ht="14" customHeight="1">
      <c r="A702" s="15"/>
      <c r="B702" s="15"/>
      <c r="C702" s="14"/>
      <c r="D702" s="14"/>
      <c r="E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 ht="14" customHeight="1">
      <c r="A703" s="15"/>
      <c r="B703" s="15"/>
      <c r="C703" s="14"/>
      <c r="D703" s="14"/>
      <c r="E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 ht="14" customHeight="1">
      <c r="A704" s="15"/>
      <c r="B704" s="15"/>
      <c r="C704" s="14"/>
      <c r="D704" s="14"/>
      <c r="E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 ht="14" customHeight="1">
      <c r="A705" s="15"/>
      <c r="B705" s="15"/>
      <c r="C705" s="14"/>
      <c r="D705" s="14"/>
      <c r="E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 ht="14" customHeight="1">
      <c r="A706" s="15"/>
      <c r="B706" s="15"/>
      <c r="C706" s="14"/>
      <c r="D706" s="14"/>
      <c r="E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 ht="14" customHeight="1">
      <c r="A707" s="15"/>
      <c r="B707" s="15"/>
      <c r="C707" s="14"/>
      <c r="D707" s="14"/>
      <c r="E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 ht="14" customHeight="1">
      <c r="A708" s="15"/>
      <c r="B708" s="15"/>
      <c r="C708" s="14"/>
      <c r="D708" s="14"/>
      <c r="E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 ht="14" customHeight="1">
      <c r="A709" s="15"/>
      <c r="B709" s="15"/>
      <c r="C709" s="14"/>
      <c r="D709" s="14"/>
      <c r="E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 ht="14" customHeight="1">
      <c r="A710" s="15"/>
      <c r="B710" s="15"/>
      <c r="C710" s="14"/>
      <c r="D710" s="14"/>
      <c r="E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 ht="14" customHeight="1">
      <c r="A711" s="15"/>
      <c r="B711" s="15"/>
      <c r="C711" s="14"/>
      <c r="D711" s="14"/>
      <c r="E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 ht="14" customHeight="1">
      <c r="A712" s="15"/>
      <c r="B712" s="15"/>
      <c r="C712" s="14"/>
      <c r="D712" s="14"/>
      <c r="E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 ht="14" customHeight="1">
      <c r="A713" s="15"/>
      <c r="B713" s="15"/>
      <c r="C713" s="14"/>
      <c r="D713" s="14"/>
      <c r="E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 ht="14" customHeight="1">
      <c r="A714" s="15"/>
      <c r="B714" s="15"/>
      <c r="C714" s="14"/>
      <c r="D714" s="14"/>
      <c r="E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 ht="14" customHeight="1">
      <c r="A715" s="15"/>
      <c r="B715" s="15"/>
      <c r="C715" s="14"/>
      <c r="D715" s="14"/>
      <c r="E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 ht="14" customHeight="1">
      <c r="A716" s="15"/>
      <c r="B716" s="15"/>
      <c r="C716" s="14"/>
      <c r="D716" s="14"/>
      <c r="E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 ht="14" customHeight="1">
      <c r="A717" s="15"/>
      <c r="B717" s="15"/>
      <c r="C717" s="14"/>
      <c r="D717" s="14"/>
      <c r="E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 ht="14" customHeight="1">
      <c r="A718" s="15"/>
      <c r="B718" s="15"/>
      <c r="C718" s="14"/>
      <c r="D718" s="14"/>
      <c r="E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 ht="14" customHeight="1">
      <c r="A719" s="15"/>
      <c r="B719" s="15"/>
      <c r="C719" s="14"/>
      <c r="D719" s="14"/>
      <c r="E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 ht="14" customHeight="1">
      <c r="A720" s="15"/>
      <c r="B720" s="15"/>
      <c r="C720" s="14"/>
      <c r="D720" s="14"/>
      <c r="E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 ht="14" customHeight="1">
      <c r="A721" s="15"/>
      <c r="B721" s="15"/>
      <c r="C721" s="14"/>
      <c r="D721" s="14"/>
      <c r="E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 ht="14" customHeight="1">
      <c r="A722" s="15"/>
      <c r="B722" s="15"/>
      <c r="C722" s="14"/>
      <c r="D722" s="14"/>
      <c r="E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 ht="14" customHeight="1">
      <c r="A723" s="15"/>
      <c r="B723" s="15"/>
      <c r="C723" s="14"/>
      <c r="D723" s="14"/>
      <c r="E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 ht="14" customHeight="1">
      <c r="A724" s="15"/>
      <c r="B724" s="15"/>
      <c r="C724" s="14"/>
      <c r="D724" s="14"/>
      <c r="E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 ht="14" customHeight="1">
      <c r="A725" s="15"/>
      <c r="B725" s="15"/>
      <c r="C725" s="14"/>
      <c r="D725" s="14"/>
      <c r="E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 ht="14" customHeight="1">
      <c r="A726" s="15"/>
      <c r="B726" s="15"/>
      <c r="C726" s="14"/>
      <c r="D726" s="14"/>
      <c r="E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 ht="14" customHeight="1">
      <c r="A727" s="15"/>
      <c r="B727" s="15"/>
      <c r="C727" s="14"/>
      <c r="D727" s="14"/>
      <c r="E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 ht="14" customHeight="1">
      <c r="A728" s="15"/>
      <c r="B728" s="15"/>
      <c r="C728" s="14"/>
      <c r="D728" s="14"/>
      <c r="E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 ht="14" customHeight="1">
      <c r="A729" s="15"/>
      <c r="B729" s="15"/>
      <c r="C729" s="14"/>
      <c r="D729" s="14"/>
      <c r="E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 ht="14" customHeight="1">
      <c r="A730" s="15"/>
      <c r="B730" s="15"/>
      <c r="C730" s="14"/>
      <c r="D730" s="14"/>
      <c r="E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 ht="14" customHeight="1">
      <c r="A731" s="15"/>
      <c r="B731" s="15"/>
      <c r="C731" s="14"/>
      <c r="D731" s="14"/>
      <c r="E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 ht="14" customHeight="1">
      <c r="A732" s="15"/>
      <c r="B732" s="15"/>
      <c r="C732" s="14"/>
      <c r="D732" s="14"/>
      <c r="E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 ht="14" customHeight="1">
      <c r="A733" s="15"/>
      <c r="B733" s="15"/>
      <c r="C733" s="14"/>
      <c r="D733" s="14"/>
      <c r="E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 ht="14" customHeight="1">
      <c r="A734" s="15"/>
      <c r="B734" s="15"/>
      <c r="C734" s="14"/>
      <c r="D734" s="14"/>
      <c r="E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 ht="14" customHeight="1">
      <c r="A735" s="15"/>
      <c r="B735" s="15"/>
      <c r="C735" s="14"/>
      <c r="D735" s="14"/>
      <c r="E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 ht="14" customHeight="1">
      <c r="A736" s="15"/>
      <c r="B736" s="15"/>
      <c r="C736" s="14"/>
      <c r="D736" s="14"/>
      <c r="E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 ht="14" customHeight="1">
      <c r="A737" s="15"/>
      <c r="B737" s="15"/>
      <c r="C737" s="14"/>
      <c r="D737" s="14"/>
      <c r="E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 ht="14" customHeight="1">
      <c r="A738" s="15"/>
      <c r="B738" s="15"/>
      <c r="C738" s="14"/>
      <c r="D738" s="14"/>
      <c r="E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 ht="14" customHeight="1">
      <c r="A739" s="15"/>
      <c r="B739" s="15"/>
      <c r="C739" s="14"/>
      <c r="D739" s="14"/>
      <c r="E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 ht="14" customHeight="1">
      <c r="A740" s="15"/>
      <c r="B740" s="15"/>
      <c r="C740" s="14"/>
      <c r="D740" s="14"/>
      <c r="E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 ht="14" customHeight="1">
      <c r="A741" s="15"/>
      <c r="B741" s="15"/>
      <c r="C741" s="14"/>
      <c r="D741" s="14"/>
      <c r="E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 ht="14" customHeight="1">
      <c r="A742" s="15"/>
      <c r="B742" s="15"/>
      <c r="C742" s="14"/>
      <c r="D742" s="14"/>
      <c r="E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 ht="14" customHeight="1">
      <c r="A743" s="15"/>
      <c r="B743" s="15"/>
      <c r="C743" s="14"/>
      <c r="D743" s="14"/>
      <c r="E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4" customHeight="1">
      <c r="A744" s="15"/>
      <c r="B744" s="15"/>
      <c r="C744" s="14"/>
      <c r="D744" s="14"/>
      <c r="E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 ht="14" customHeight="1">
      <c r="A745" s="15"/>
      <c r="B745" s="15"/>
      <c r="C745" s="14"/>
      <c r="D745" s="14"/>
      <c r="E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1:25" ht="14" customHeight="1">
      <c r="A746" s="15"/>
      <c r="B746" s="15"/>
      <c r="C746" s="14"/>
      <c r="D746" s="14"/>
      <c r="E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1:25" ht="14" customHeight="1">
      <c r="A747" s="15"/>
      <c r="B747" s="15"/>
      <c r="C747" s="14"/>
      <c r="D747" s="14"/>
      <c r="E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1:25" ht="14" customHeight="1">
      <c r="A748" s="15"/>
      <c r="B748" s="15"/>
      <c r="C748" s="14"/>
      <c r="D748" s="14"/>
      <c r="E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1:25" ht="14" customHeight="1">
      <c r="A749" s="15"/>
      <c r="B749" s="15"/>
      <c r="C749" s="14"/>
      <c r="D749" s="14"/>
      <c r="E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1:25" ht="14" customHeight="1">
      <c r="A750" s="15"/>
      <c r="B750" s="15"/>
      <c r="C750" s="14"/>
      <c r="D750" s="14"/>
      <c r="E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1:25" ht="14" customHeight="1">
      <c r="A751" s="15"/>
      <c r="B751" s="15"/>
      <c r="C751" s="14"/>
      <c r="D751" s="14"/>
      <c r="E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1:25" ht="14" customHeight="1">
      <c r="A752" s="15"/>
      <c r="B752" s="15"/>
      <c r="C752" s="14"/>
      <c r="D752" s="14"/>
      <c r="E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1:25" ht="14" customHeight="1">
      <c r="A753" s="15"/>
      <c r="B753" s="15"/>
      <c r="C753" s="14"/>
      <c r="D753" s="14"/>
      <c r="E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1:25" ht="14" customHeight="1">
      <c r="A754" s="15"/>
      <c r="B754" s="15"/>
      <c r="C754" s="14"/>
      <c r="D754" s="14"/>
      <c r="E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1:25" ht="14" customHeight="1">
      <c r="A755" s="15"/>
      <c r="B755" s="15"/>
      <c r="C755" s="14"/>
      <c r="D755" s="14"/>
      <c r="E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 ht="14" customHeight="1">
      <c r="A756" s="15"/>
      <c r="B756" s="15"/>
      <c r="C756" s="14"/>
      <c r="D756" s="14"/>
      <c r="E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1:25" ht="14" customHeight="1">
      <c r="A757" s="15"/>
      <c r="B757" s="15"/>
      <c r="C757" s="14"/>
      <c r="D757" s="14"/>
      <c r="E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1:25" ht="14" customHeight="1">
      <c r="A758" s="15"/>
      <c r="B758" s="15"/>
      <c r="C758" s="14"/>
      <c r="D758" s="14"/>
      <c r="E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1:25" ht="14" customHeight="1">
      <c r="A759" s="15"/>
      <c r="B759" s="15"/>
      <c r="C759" s="14"/>
      <c r="D759" s="14"/>
      <c r="E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1:25" ht="14" customHeight="1">
      <c r="A760" s="15"/>
      <c r="B760" s="15"/>
      <c r="C760" s="14"/>
      <c r="D760" s="14"/>
      <c r="E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1:25" ht="14" customHeight="1">
      <c r="A761" s="15"/>
      <c r="B761" s="15"/>
      <c r="C761" s="14"/>
      <c r="D761" s="14"/>
      <c r="E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1:25" ht="14" customHeight="1">
      <c r="A762" s="15"/>
      <c r="B762" s="15"/>
      <c r="C762" s="14"/>
      <c r="D762" s="14"/>
      <c r="E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1:25" ht="14" customHeight="1">
      <c r="A763" s="15"/>
      <c r="B763" s="15"/>
      <c r="C763" s="14"/>
      <c r="D763" s="14"/>
      <c r="E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1:25" ht="14" customHeight="1">
      <c r="A764" s="15"/>
      <c r="B764" s="15"/>
      <c r="C764" s="14"/>
      <c r="D764" s="14"/>
      <c r="E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1:25" ht="14" customHeight="1">
      <c r="A765" s="15"/>
      <c r="B765" s="15"/>
      <c r="C765" s="14"/>
      <c r="D765" s="14"/>
      <c r="E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1:25" ht="14" customHeight="1">
      <c r="A766" s="15"/>
      <c r="B766" s="15"/>
      <c r="C766" s="14"/>
      <c r="D766" s="14"/>
      <c r="E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1:25" ht="14" customHeight="1">
      <c r="A767" s="15"/>
      <c r="B767" s="15"/>
      <c r="C767" s="14"/>
      <c r="D767" s="14"/>
      <c r="E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1:25" ht="14" customHeight="1">
      <c r="A768" s="15"/>
      <c r="B768" s="15"/>
      <c r="C768" s="14"/>
      <c r="D768" s="14"/>
      <c r="E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1:25" ht="14" customHeight="1">
      <c r="A769" s="15"/>
      <c r="B769" s="15"/>
      <c r="C769" s="14"/>
      <c r="D769" s="14"/>
      <c r="E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1:25" ht="14" customHeight="1">
      <c r="A770" s="15"/>
      <c r="B770" s="15"/>
      <c r="C770" s="14"/>
      <c r="D770" s="14"/>
      <c r="E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1:25" ht="14" customHeight="1">
      <c r="A771" s="15"/>
      <c r="B771" s="15"/>
      <c r="C771" s="14"/>
      <c r="D771" s="14"/>
      <c r="E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1:25" ht="14" customHeight="1">
      <c r="A772" s="15"/>
      <c r="B772" s="15"/>
      <c r="C772" s="14"/>
      <c r="D772" s="14"/>
      <c r="E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1:25" ht="14" customHeight="1">
      <c r="A773" s="15"/>
      <c r="B773" s="15"/>
      <c r="C773" s="14"/>
      <c r="D773" s="14"/>
      <c r="E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1:25" ht="14" customHeight="1">
      <c r="A774" s="15"/>
      <c r="B774" s="15"/>
      <c r="C774" s="14"/>
      <c r="D774" s="14"/>
      <c r="E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4" customHeight="1">
      <c r="A775" s="15"/>
      <c r="B775" s="15"/>
      <c r="C775" s="14"/>
      <c r="D775" s="14"/>
      <c r="E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1:25" ht="14" customHeight="1">
      <c r="A776" s="15"/>
      <c r="B776" s="15"/>
      <c r="C776" s="14"/>
      <c r="D776" s="14"/>
      <c r="E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1:25" ht="14" customHeight="1">
      <c r="A777" s="15"/>
      <c r="B777" s="15"/>
      <c r="C777" s="14"/>
      <c r="D777" s="14"/>
      <c r="E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1:25" ht="14" customHeight="1">
      <c r="A778" s="15"/>
      <c r="B778" s="15"/>
      <c r="C778" s="14"/>
      <c r="D778" s="14"/>
      <c r="E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1:25" ht="14" customHeight="1">
      <c r="A779" s="15"/>
      <c r="B779" s="15"/>
      <c r="C779" s="14"/>
      <c r="D779" s="14"/>
      <c r="E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1:25" ht="14" customHeight="1">
      <c r="A780" s="15"/>
      <c r="B780" s="15"/>
      <c r="C780" s="14"/>
      <c r="D780" s="14"/>
      <c r="E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1:25" ht="14" customHeight="1">
      <c r="A781" s="15"/>
      <c r="B781" s="15"/>
      <c r="C781" s="14"/>
      <c r="D781" s="14"/>
      <c r="E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1:25" ht="14" customHeight="1">
      <c r="A782" s="15"/>
      <c r="B782" s="15"/>
      <c r="C782" s="14"/>
      <c r="D782" s="14"/>
      <c r="E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1:25" ht="14" customHeight="1">
      <c r="A783" s="15"/>
      <c r="B783" s="15"/>
      <c r="C783" s="14"/>
      <c r="D783" s="14"/>
      <c r="E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1:25" ht="14" customHeight="1">
      <c r="A784" s="15"/>
      <c r="B784" s="15"/>
      <c r="C784" s="14"/>
      <c r="D784" s="14"/>
      <c r="E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1:25" ht="14" customHeight="1">
      <c r="A785" s="15"/>
      <c r="B785" s="15"/>
      <c r="C785" s="14"/>
      <c r="D785" s="14"/>
      <c r="E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1:25" ht="14" customHeight="1">
      <c r="A786" s="15"/>
      <c r="B786" s="15"/>
      <c r="C786" s="14"/>
      <c r="D786" s="14"/>
      <c r="E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1:25" ht="14" customHeight="1">
      <c r="A787" s="15"/>
      <c r="B787" s="15"/>
      <c r="C787" s="14"/>
      <c r="D787" s="14"/>
      <c r="E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1:25" ht="14" customHeight="1">
      <c r="A788" s="15"/>
      <c r="B788" s="15"/>
      <c r="C788" s="14"/>
      <c r="D788" s="14"/>
      <c r="E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1:25" ht="14" customHeight="1">
      <c r="A789" s="15"/>
      <c r="B789" s="15"/>
      <c r="C789" s="14"/>
      <c r="D789" s="14"/>
      <c r="E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1:25" ht="14" customHeight="1">
      <c r="A790" s="15"/>
      <c r="B790" s="15"/>
      <c r="C790" s="14"/>
      <c r="D790" s="14"/>
      <c r="E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1:25" ht="14" customHeight="1">
      <c r="A791" s="15"/>
      <c r="B791" s="15"/>
      <c r="C791" s="14"/>
      <c r="D791" s="14"/>
      <c r="E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1:25" ht="14" customHeight="1">
      <c r="A792" s="15"/>
      <c r="B792" s="15"/>
      <c r="C792" s="14"/>
      <c r="D792" s="14"/>
      <c r="E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1:25" ht="14" customHeight="1">
      <c r="A793" s="15"/>
      <c r="B793" s="15"/>
      <c r="C793" s="14"/>
      <c r="D793" s="14"/>
      <c r="E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1:25" ht="14" customHeight="1">
      <c r="A794" s="15"/>
      <c r="B794" s="15"/>
      <c r="C794" s="14"/>
      <c r="D794" s="14"/>
      <c r="E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1:25" ht="14" customHeight="1">
      <c r="A795" s="15"/>
      <c r="B795" s="15"/>
      <c r="C795" s="14"/>
      <c r="D795" s="14"/>
      <c r="E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1:25" ht="14" customHeight="1">
      <c r="A796" s="15"/>
      <c r="B796" s="15"/>
      <c r="C796" s="14"/>
      <c r="D796" s="14"/>
      <c r="E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1:25" ht="14" customHeight="1">
      <c r="A797" s="15"/>
      <c r="B797" s="15"/>
      <c r="C797" s="14"/>
      <c r="D797" s="14"/>
      <c r="E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1:25" ht="14" customHeight="1">
      <c r="A798" s="15"/>
      <c r="B798" s="15"/>
      <c r="C798" s="14"/>
      <c r="D798" s="14"/>
      <c r="E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1:25" ht="14" customHeight="1">
      <c r="A799" s="15"/>
      <c r="B799" s="15"/>
      <c r="C799" s="14"/>
      <c r="D799" s="14"/>
      <c r="E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1:25" ht="14" customHeight="1">
      <c r="A800" s="15"/>
      <c r="B800" s="15"/>
      <c r="C800" s="14"/>
      <c r="D800" s="14"/>
      <c r="E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1:25" ht="14" customHeight="1">
      <c r="A801" s="15"/>
      <c r="B801" s="15"/>
      <c r="C801" s="14"/>
      <c r="D801" s="14"/>
      <c r="E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1:25" ht="14" customHeight="1">
      <c r="A802" s="15"/>
      <c r="B802" s="15"/>
      <c r="C802" s="14"/>
      <c r="D802" s="14"/>
      <c r="E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1:25" ht="14" customHeight="1">
      <c r="A803" s="15"/>
      <c r="B803" s="15"/>
      <c r="C803" s="14"/>
      <c r="D803" s="14"/>
      <c r="E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1:25" ht="14" customHeight="1">
      <c r="A804" s="15"/>
      <c r="B804" s="15"/>
      <c r="C804" s="14"/>
      <c r="D804" s="14"/>
      <c r="E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1:25" ht="14" customHeight="1">
      <c r="A805" s="15"/>
      <c r="B805" s="15"/>
      <c r="C805" s="14"/>
      <c r="D805" s="14"/>
      <c r="E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1:25" ht="14" customHeight="1">
      <c r="A806" s="15"/>
      <c r="B806" s="15"/>
      <c r="C806" s="14"/>
      <c r="D806" s="14"/>
      <c r="E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1:25" ht="14" customHeight="1">
      <c r="A807" s="15"/>
      <c r="B807" s="15"/>
      <c r="C807" s="14"/>
      <c r="D807" s="14"/>
      <c r="E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1:25" ht="14" customHeight="1">
      <c r="A808" s="15"/>
      <c r="B808" s="15"/>
      <c r="C808" s="14"/>
      <c r="D808" s="14"/>
      <c r="E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1:25" ht="14" customHeight="1">
      <c r="A809" s="15"/>
      <c r="B809" s="15"/>
      <c r="C809" s="14"/>
      <c r="D809" s="14"/>
      <c r="E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1:25" ht="14" customHeight="1">
      <c r="A810" s="15"/>
      <c r="B810" s="15"/>
      <c r="C810" s="14"/>
      <c r="D810" s="14"/>
      <c r="E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1:25" ht="14" customHeight="1">
      <c r="A811" s="15"/>
      <c r="B811" s="15"/>
      <c r="C811" s="14"/>
      <c r="D811" s="14"/>
      <c r="E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1:25" ht="14" customHeight="1">
      <c r="A812" s="15"/>
      <c r="B812" s="15"/>
      <c r="C812" s="14"/>
      <c r="D812" s="14"/>
      <c r="E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1:25" ht="14" customHeight="1">
      <c r="A813" s="15"/>
      <c r="B813" s="15"/>
      <c r="C813" s="14"/>
      <c r="D813" s="14"/>
      <c r="E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1:25" ht="14" customHeight="1">
      <c r="A814" s="15"/>
      <c r="B814" s="15"/>
      <c r="C814" s="14"/>
      <c r="D814" s="14"/>
      <c r="E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1:25" ht="14" customHeight="1">
      <c r="A815" s="15"/>
      <c r="B815" s="15"/>
      <c r="C815" s="14"/>
      <c r="D815" s="14"/>
      <c r="E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1:25" ht="14" customHeight="1">
      <c r="A816" s="15"/>
      <c r="B816" s="15"/>
      <c r="C816" s="14"/>
      <c r="D816" s="14"/>
      <c r="E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1:25" ht="14" customHeight="1">
      <c r="A817" s="15"/>
      <c r="B817" s="15"/>
      <c r="C817" s="14"/>
      <c r="D817" s="14"/>
      <c r="E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1:25" ht="14" customHeight="1">
      <c r="A818" s="15"/>
      <c r="B818" s="15"/>
      <c r="C818" s="14"/>
      <c r="D818" s="14"/>
      <c r="E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1:25" ht="14" customHeight="1">
      <c r="A819" s="15"/>
      <c r="B819" s="15"/>
      <c r="C819" s="14"/>
      <c r="D819" s="14"/>
      <c r="E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1:25" ht="14" customHeight="1">
      <c r="A820" s="15"/>
      <c r="B820" s="15"/>
      <c r="C820" s="14"/>
      <c r="D820" s="14"/>
      <c r="E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1:25" ht="14" customHeight="1">
      <c r="A821" s="15"/>
      <c r="B821" s="15"/>
      <c r="C821" s="14"/>
      <c r="D821" s="14"/>
      <c r="E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1:25" ht="14" customHeight="1">
      <c r="A822" s="15"/>
      <c r="B822" s="15"/>
      <c r="C822" s="14"/>
      <c r="D822" s="14"/>
      <c r="E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1:25" ht="14" customHeight="1">
      <c r="A823" s="15"/>
      <c r="B823" s="15"/>
      <c r="C823" s="14"/>
      <c r="D823" s="14"/>
      <c r="E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1:25" ht="14" customHeight="1">
      <c r="A824" s="15"/>
      <c r="B824" s="15"/>
      <c r="C824" s="14"/>
      <c r="D824" s="14"/>
      <c r="E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1:25" ht="14" customHeight="1">
      <c r="A825" s="15"/>
      <c r="B825" s="15"/>
      <c r="C825" s="14"/>
      <c r="D825" s="14"/>
      <c r="E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1:25" ht="14" customHeight="1">
      <c r="A826" s="15"/>
      <c r="B826" s="15"/>
      <c r="C826" s="14"/>
      <c r="D826" s="14"/>
      <c r="E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1:25" ht="14" customHeight="1">
      <c r="A827" s="15"/>
      <c r="B827" s="15"/>
      <c r="C827" s="14"/>
      <c r="D827" s="14"/>
      <c r="E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1:25" ht="14" customHeight="1">
      <c r="A828" s="15"/>
      <c r="B828" s="15"/>
      <c r="C828" s="14"/>
      <c r="D828" s="14"/>
      <c r="E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1:25" ht="14" customHeight="1">
      <c r="A829" s="15"/>
      <c r="B829" s="15"/>
      <c r="C829" s="14"/>
      <c r="D829" s="14"/>
      <c r="E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1:25" ht="14" customHeight="1">
      <c r="A830" s="15"/>
      <c r="B830" s="15"/>
      <c r="C830" s="14"/>
      <c r="D830" s="14"/>
      <c r="E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1:25" ht="14" customHeight="1">
      <c r="A831" s="15"/>
      <c r="B831" s="15"/>
      <c r="C831" s="14"/>
      <c r="D831" s="14"/>
      <c r="E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1:25" ht="14" customHeight="1">
      <c r="A832" s="15"/>
      <c r="B832" s="15"/>
      <c r="C832" s="14"/>
      <c r="D832" s="14"/>
      <c r="E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1:25" ht="14" customHeight="1">
      <c r="A833" s="15"/>
      <c r="B833" s="15"/>
      <c r="C833" s="14"/>
      <c r="D833" s="14"/>
      <c r="E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1:25" ht="14" customHeight="1">
      <c r="A834" s="15"/>
      <c r="B834" s="15"/>
      <c r="C834" s="14"/>
      <c r="D834" s="14"/>
      <c r="E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1:25" ht="14" customHeight="1">
      <c r="A835" s="15"/>
      <c r="B835" s="15"/>
      <c r="C835" s="14"/>
      <c r="D835" s="14"/>
      <c r="E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4" customHeight="1">
      <c r="A836" s="15"/>
      <c r="B836" s="15"/>
      <c r="C836" s="14"/>
      <c r="D836" s="14"/>
      <c r="E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1:25" ht="14" customHeight="1">
      <c r="A837" s="15"/>
      <c r="B837" s="15"/>
      <c r="C837" s="14"/>
      <c r="D837" s="14"/>
      <c r="E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1:25" ht="14" customHeight="1">
      <c r="A838" s="15"/>
      <c r="B838" s="15"/>
      <c r="C838" s="14"/>
      <c r="D838" s="14"/>
      <c r="E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1:25" ht="14" customHeight="1">
      <c r="A839" s="15"/>
      <c r="B839" s="15"/>
      <c r="C839" s="14"/>
      <c r="D839" s="14"/>
      <c r="E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1:25" ht="14" customHeight="1">
      <c r="A840" s="15"/>
      <c r="B840" s="15"/>
      <c r="C840" s="14"/>
      <c r="D840" s="14"/>
      <c r="E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1:25" ht="14" customHeight="1">
      <c r="A841" s="15"/>
      <c r="B841" s="15"/>
      <c r="C841" s="14"/>
      <c r="D841" s="14"/>
      <c r="E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1:25" ht="14" customHeight="1">
      <c r="A842" s="15"/>
      <c r="B842" s="15"/>
      <c r="C842" s="14"/>
      <c r="D842" s="14"/>
      <c r="E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1:25" ht="14" customHeight="1">
      <c r="A843" s="15"/>
      <c r="B843" s="15"/>
      <c r="C843" s="14"/>
      <c r="D843" s="14"/>
      <c r="E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1:25" ht="14" customHeight="1">
      <c r="A844" s="15"/>
      <c r="B844" s="15"/>
      <c r="C844" s="14"/>
      <c r="D844" s="14"/>
      <c r="E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1:25" ht="14" customHeight="1">
      <c r="A845" s="15"/>
      <c r="B845" s="15"/>
      <c r="C845" s="14"/>
      <c r="D845" s="14"/>
      <c r="E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1:25" ht="14" customHeight="1">
      <c r="A846" s="15"/>
      <c r="B846" s="15"/>
      <c r="C846" s="14"/>
      <c r="D846" s="14"/>
      <c r="E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1:25" ht="14" customHeight="1">
      <c r="A847" s="15"/>
      <c r="B847" s="15"/>
      <c r="C847" s="14"/>
      <c r="D847" s="14"/>
      <c r="E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1:25" ht="14" customHeight="1">
      <c r="A848" s="15"/>
      <c r="B848" s="15"/>
      <c r="C848" s="14"/>
      <c r="D848" s="14"/>
      <c r="E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1:25" ht="14" customHeight="1">
      <c r="A849" s="15"/>
      <c r="B849" s="15"/>
      <c r="C849" s="14"/>
      <c r="D849" s="14"/>
      <c r="E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1:25" ht="14" customHeight="1">
      <c r="A850" s="15"/>
      <c r="B850" s="15"/>
      <c r="C850" s="14"/>
      <c r="D850" s="14"/>
      <c r="E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1:25" ht="14" customHeight="1">
      <c r="A851" s="15"/>
      <c r="B851" s="15"/>
      <c r="C851" s="14"/>
      <c r="D851" s="14"/>
      <c r="E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1:25" ht="14" customHeight="1">
      <c r="A852" s="15"/>
      <c r="B852" s="15"/>
      <c r="C852" s="14"/>
      <c r="D852" s="14"/>
      <c r="E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1:25" ht="14" customHeight="1">
      <c r="A853" s="15"/>
      <c r="B853" s="15"/>
      <c r="C853" s="14"/>
      <c r="D853" s="14"/>
      <c r="E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1:25" ht="14" customHeight="1">
      <c r="A854" s="15"/>
      <c r="B854" s="15"/>
      <c r="C854" s="14"/>
      <c r="D854" s="14"/>
      <c r="E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1:25" ht="14" customHeight="1">
      <c r="A855" s="15"/>
      <c r="B855" s="15"/>
      <c r="C855" s="14"/>
      <c r="D855" s="14"/>
      <c r="E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1:25" ht="14" customHeight="1">
      <c r="A856" s="15"/>
      <c r="B856" s="15"/>
      <c r="C856" s="14"/>
      <c r="D856" s="14"/>
      <c r="E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1:25" ht="14" customHeight="1">
      <c r="A857" s="15"/>
      <c r="B857" s="15"/>
      <c r="C857" s="14"/>
      <c r="D857" s="14"/>
      <c r="E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1:25" ht="14" customHeight="1">
      <c r="A858" s="15"/>
      <c r="B858" s="15"/>
      <c r="C858" s="14"/>
      <c r="D858" s="14"/>
      <c r="E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1:25" ht="14" customHeight="1">
      <c r="A859" s="15"/>
      <c r="B859" s="15"/>
      <c r="C859" s="14"/>
      <c r="D859" s="14"/>
      <c r="E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1:25" ht="14" customHeight="1">
      <c r="A860" s="15"/>
      <c r="B860" s="15"/>
      <c r="C860" s="14"/>
      <c r="D860" s="14"/>
      <c r="E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1:25" ht="14" customHeight="1">
      <c r="A861" s="15"/>
      <c r="B861" s="15"/>
      <c r="C861" s="14"/>
      <c r="D861" s="14"/>
      <c r="E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1:25" ht="14" customHeight="1">
      <c r="A862" s="15"/>
      <c r="B862" s="15"/>
      <c r="C862" s="14"/>
      <c r="D862" s="14"/>
      <c r="E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1:25" ht="14" customHeight="1">
      <c r="A863" s="15"/>
      <c r="B863" s="15"/>
      <c r="C863" s="14"/>
      <c r="D863" s="14"/>
      <c r="E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1:25" ht="14" customHeight="1">
      <c r="A864" s="15"/>
      <c r="B864" s="15"/>
      <c r="C864" s="14"/>
      <c r="D864" s="14"/>
      <c r="E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1:25" ht="14" customHeight="1">
      <c r="A865" s="15"/>
      <c r="B865" s="15"/>
      <c r="C865" s="14"/>
      <c r="D865" s="14"/>
      <c r="E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1:25" ht="14" customHeight="1">
      <c r="A866" s="15"/>
      <c r="B866" s="15"/>
      <c r="C866" s="14"/>
      <c r="D866" s="14"/>
      <c r="E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1:25" ht="14" customHeight="1">
      <c r="A867" s="15"/>
      <c r="B867" s="15"/>
      <c r="C867" s="14"/>
      <c r="D867" s="14"/>
      <c r="E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1:25" ht="14" customHeight="1">
      <c r="A868" s="15"/>
      <c r="B868" s="15"/>
      <c r="C868" s="14"/>
      <c r="D868" s="14"/>
      <c r="E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1:25" ht="14" customHeight="1">
      <c r="A869" s="15"/>
      <c r="B869" s="15"/>
      <c r="C869" s="14"/>
      <c r="D869" s="14"/>
      <c r="E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1:25" ht="14" customHeight="1">
      <c r="A870" s="15"/>
      <c r="B870" s="15"/>
      <c r="C870" s="14"/>
      <c r="D870" s="14"/>
      <c r="E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1:25" ht="14" customHeight="1">
      <c r="A871" s="15"/>
      <c r="B871" s="15"/>
      <c r="C871" s="14"/>
      <c r="D871" s="14"/>
      <c r="E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1:25" ht="14" customHeight="1">
      <c r="A872" s="15"/>
      <c r="B872" s="15"/>
      <c r="C872" s="14"/>
      <c r="D872" s="14"/>
      <c r="E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1:25" ht="14" customHeight="1">
      <c r="A873" s="15"/>
      <c r="B873" s="15"/>
      <c r="C873" s="14"/>
      <c r="D873" s="14"/>
      <c r="E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1:25" ht="14" customHeight="1">
      <c r="A874" s="15"/>
      <c r="B874" s="15"/>
      <c r="C874" s="14"/>
      <c r="D874" s="14"/>
      <c r="E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1:25" ht="14" customHeight="1">
      <c r="A875" s="15"/>
      <c r="B875" s="15"/>
      <c r="C875" s="14"/>
      <c r="D875" s="14"/>
      <c r="E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1:25" ht="14" customHeight="1">
      <c r="A876" s="15"/>
      <c r="B876" s="15"/>
      <c r="C876" s="14"/>
      <c r="D876" s="14"/>
      <c r="E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1:25" ht="14" customHeight="1">
      <c r="A877" s="15"/>
      <c r="B877" s="15"/>
      <c r="C877" s="14"/>
      <c r="D877" s="14"/>
      <c r="E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1:25" ht="14" customHeight="1">
      <c r="A878" s="15"/>
      <c r="B878" s="15"/>
      <c r="C878" s="14"/>
      <c r="D878" s="14"/>
      <c r="E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1:25" ht="14" customHeight="1">
      <c r="A879" s="15"/>
      <c r="B879" s="15"/>
      <c r="C879" s="14"/>
      <c r="D879" s="14"/>
      <c r="E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1:25" ht="14" customHeight="1">
      <c r="A880" s="15"/>
      <c r="B880" s="15"/>
      <c r="C880" s="14"/>
      <c r="D880" s="14"/>
      <c r="E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1:25" ht="14" customHeight="1">
      <c r="A881" s="15"/>
      <c r="B881" s="15"/>
      <c r="C881" s="14"/>
      <c r="D881" s="14"/>
      <c r="E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1:25" ht="14" customHeight="1">
      <c r="A882" s="15"/>
      <c r="B882" s="15"/>
      <c r="C882" s="14"/>
      <c r="D882" s="14"/>
      <c r="E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1:25" ht="14" customHeight="1">
      <c r="A883" s="15"/>
      <c r="B883" s="15"/>
      <c r="C883" s="14"/>
      <c r="D883" s="14"/>
      <c r="E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1:25" ht="14" customHeight="1">
      <c r="A884" s="15"/>
      <c r="B884" s="15"/>
      <c r="C884" s="14"/>
      <c r="D884" s="14"/>
      <c r="E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1:25" ht="14" customHeight="1">
      <c r="A885" s="15"/>
      <c r="B885" s="15"/>
      <c r="C885" s="14"/>
      <c r="D885" s="14"/>
      <c r="E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1:25" ht="14" customHeight="1">
      <c r="A886" s="15"/>
      <c r="B886" s="15"/>
      <c r="C886" s="14"/>
      <c r="D886" s="14"/>
      <c r="E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1:25" ht="14" customHeight="1">
      <c r="A887" s="15"/>
      <c r="B887" s="15"/>
      <c r="C887" s="14"/>
      <c r="D887" s="14"/>
      <c r="E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1:25" ht="14" customHeight="1">
      <c r="A888" s="15"/>
      <c r="B888" s="15"/>
      <c r="C888" s="14"/>
      <c r="D888" s="14"/>
      <c r="E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1:25" ht="14" customHeight="1">
      <c r="A889" s="15"/>
      <c r="B889" s="15"/>
      <c r="C889" s="14"/>
      <c r="D889" s="14"/>
      <c r="E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1:25" ht="14" customHeight="1">
      <c r="A890" s="15"/>
      <c r="B890" s="15"/>
      <c r="C890" s="14"/>
      <c r="D890" s="14"/>
      <c r="E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1:25" ht="14" customHeight="1">
      <c r="A891" s="15"/>
      <c r="B891" s="15"/>
      <c r="C891" s="14"/>
      <c r="D891" s="14"/>
      <c r="E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1:25" ht="14" customHeight="1">
      <c r="A892" s="15"/>
      <c r="B892" s="15"/>
      <c r="C892" s="14"/>
      <c r="D892" s="14"/>
      <c r="E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1:25" ht="14" customHeight="1">
      <c r="A893" s="15"/>
      <c r="B893" s="15"/>
      <c r="C893" s="14"/>
      <c r="D893" s="14"/>
      <c r="E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1:25" ht="14" customHeight="1">
      <c r="A894" s="15"/>
      <c r="B894" s="15"/>
      <c r="C894" s="14"/>
      <c r="D894" s="14"/>
      <c r="E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1:25" ht="14" customHeight="1">
      <c r="A895" s="15"/>
      <c r="B895" s="15"/>
      <c r="C895" s="14"/>
      <c r="D895" s="14"/>
      <c r="E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 ht="14" customHeight="1">
      <c r="A896" s="15"/>
      <c r="B896" s="15"/>
      <c r="C896" s="14"/>
      <c r="D896" s="14"/>
      <c r="E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1:25" ht="14" customHeight="1">
      <c r="A897" s="15"/>
      <c r="B897" s="15"/>
      <c r="C897" s="14"/>
      <c r="D897" s="14"/>
      <c r="E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1:25" ht="14" customHeight="1">
      <c r="A898" s="15"/>
      <c r="B898" s="15"/>
      <c r="C898" s="14"/>
      <c r="D898" s="14"/>
      <c r="E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1:25" ht="14" customHeight="1">
      <c r="A899" s="15"/>
      <c r="B899" s="15"/>
      <c r="C899" s="14"/>
      <c r="D899" s="14"/>
      <c r="E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1:25" ht="14" customHeight="1">
      <c r="A900" s="15"/>
      <c r="B900" s="15"/>
      <c r="C900" s="14"/>
      <c r="D900" s="14"/>
      <c r="E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1:25" ht="14" customHeight="1">
      <c r="A901" s="15"/>
      <c r="B901" s="15"/>
      <c r="C901" s="14"/>
      <c r="D901" s="14"/>
      <c r="E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1:25" ht="14" customHeight="1">
      <c r="A902" s="15"/>
      <c r="B902" s="15"/>
      <c r="C902" s="14"/>
      <c r="D902" s="14"/>
      <c r="E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1:25" ht="14" customHeight="1">
      <c r="A903" s="15"/>
      <c r="B903" s="15"/>
      <c r="C903" s="14"/>
      <c r="D903" s="14"/>
      <c r="E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1:25" ht="14" customHeight="1">
      <c r="A904" s="15"/>
      <c r="B904" s="15"/>
      <c r="C904" s="14"/>
      <c r="D904" s="14"/>
      <c r="E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1:25" ht="14" customHeight="1">
      <c r="A905" s="15"/>
      <c r="B905" s="15"/>
      <c r="C905" s="14"/>
      <c r="D905" s="14"/>
      <c r="E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1:25" ht="14" customHeight="1">
      <c r="A906" s="15"/>
      <c r="B906" s="15"/>
      <c r="C906" s="14"/>
      <c r="D906" s="14"/>
      <c r="E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1:25" ht="14" customHeight="1">
      <c r="A907" s="15"/>
      <c r="B907" s="15"/>
      <c r="C907" s="14"/>
      <c r="D907" s="14"/>
      <c r="E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1:25" ht="14" customHeight="1">
      <c r="A908" s="15"/>
      <c r="B908" s="15"/>
      <c r="C908" s="14"/>
      <c r="D908" s="14"/>
      <c r="E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1:25" ht="14" customHeight="1">
      <c r="A909" s="15"/>
      <c r="B909" s="15"/>
      <c r="C909" s="14"/>
      <c r="D909" s="14"/>
      <c r="E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1:25" ht="14" customHeight="1">
      <c r="A910" s="15"/>
      <c r="B910" s="15"/>
      <c r="C910" s="14"/>
      <c r="D910" s="14"/>
      <c r="E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1:25" ht="14" customHeight="1">
      <c r="A911" s="15"/>
      <c r="B911" s="15"/>
      <c r="C911" s="14"/>
      <c r="D911" s="14"/>
      <c r="E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1:25" ht="14" customHeight="1">
      <c r="A912" s="15"/>
      <c r="B912" s="15"/>
      <c r="C912" s="14"/>
      <c r="D912" s="14"/>
      <c r="E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1:25" ht="14" customHeight="1">
      <c r="A913" s="15"/>
      <c r="B913" s="15"/>
      <c r="C913" s="14"/>
      <c r="D913" s="14"/>
      <c r="E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1:25" ht="14" customHeight="1">
      <c r="A914" s="15"/>
      <c r="B914" s="15"/>
      <c r="C914" s="14"/>
      <c r="D914" s="14"/>
      <c r="E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1:25" ht="14" customHeight="1">
      <c r="A915" s="15"/>
      <c r="B915" s="15"/>
      <c r="C915" s="14"/>
      <c r="D915" s="14"/>
      <c r="E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 ht="14" customHeight="1">
      <c r="A916" s="15"/>
      <c r="B916" s="15"/>
      <c r="C916" s="14"/>
      <c r="D916" s="14"/>
      <c r="E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1:25" ht="14" customHeight="1">
      <c r="A917" s="15"/>
      <c r="B917" s="15"/>
      <c r="C917" s="14"/>
      <c r="D917" s="14"/>
      <c r="E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1:25" ht="14" customHeight="1">
      <c r="A918" s="15"/>
      <c r="B918" s="15"/>
      <c r="C918" s="14"/>
      <c r="D918" s="14"/>
      <c r="E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1:25" ht="14" customHeight="1">
      <c r="A919" s="15"/>
      <c r="B919" s="15"/>
      <c r="C919" s="14"/>
      <c r="D919" s="14"/>
      <c r="E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1:25" ht="14" customHeight="1">
      <c r="A920" s="15"/>
      <c r="B920" s="15"/>
      <c r="C920" s="14"/>
      <c r="D920" s="14"/>
      <c r="E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1:25" ht="14" customHeight="1">
      <c r="A921" s="15"/>
      <c r="B921" s="15"/>
      <c r="C921" s="14"/>
      <c r="D921" s="14"/>
      <c r="E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1:25" ht="14" customHeight="1">
      <c r="A922" s="15"/>
      <c r="B922" s="15"/>
      <c r="C922" s="14"/>
      <c r="D922" s="14"/>
      <c r="E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1:25" ht="14" customHeight="1">
      <c r="A923" s="15"/>
      <c r="B923" s="15"/>
      <c r="C923" s="14"/>
      <c r="D923" s="14"/>
      <c r="E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1:25" ht="14" customHeight="1">
      <c r="A924" s="15"/>
      <c r="B924" s="15"/>
      <c r="C924" s="14"/>
      <c r="D924" s="14"/>
      <c r="E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1:25" ht="14" customHeight="1">
      <c r="A925" s="15"/>
      <c r="B925" s="15"/>
      <c r="C925" s="14"/>
      <c r="D925" s="14"/>
      <c r="E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1:25" ht="14" customHeight="1">
      <c r="A926" s="15"/>
      <c r="B926" s="15"/>
      <c r="C926" s="14"/>
      <c r="D926" s="14"/>
      <c r="E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1:25" ht="14" customHeight="1">
      <c r="A927" s="15"/>
      <c r="B927" s="15"/>
      <c r="C927" s="14"/>
      <c r="D927" s="14"/>
      <c r="E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1:25" ht="14" customHeight="1">
      <c r="A928" s="15"/>
      <c r="B928" s="15"/>
      <c r="C928" s="14"/>
      <c r="D928" s="14"/>
      <c r="E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1:25" ht="14" customHeight="1">
      <c r="A929" s="15"/>
      <c r="B929" s="15"/>
      <c r="C929" s="14"/>
      <c r="D929" s="14"/>
      <c r="E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1:25" ht="14" customHeight="1">
      <c r="A930" s="15"/>
      <c r="B930" s="15"/>
      <c r="C930" s="14"/>
      <c r="D930" s="14"/>
      <c r="E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1:25" ht="14" customHeight="1">
      <c r="A931" s="15"/>
      <c r="B931" s="15"/>
      <c r="C931" s="14"/>
      <c r="D931" s="14"/>
      <c r="E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1:25" ht="14" customHeight="1">
      <c r="A932" s="15"/>
      <c r="B932" s="15"/>
      <c r="C932" s="14"/>
      <c r="D932" s="14"/>
      <c r="E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1:25" ht="14" customHeight="1">
      <c r="A933" s="15"/>
      <c r="B933" s="15"/>
      <c r="C933" s="14"/>
      <c r="D933" s="14"/>
      <c r="E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1:25" ht="14" customHeight="1">
      <c r="A934" s="15"/>
      <c r="B934" s="15"/>
      <c r="C934" s="14"/>
      <c r="D934" s="14"/>
      <c r="E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1:25" ht="14" customHeight="1">
      <c r="A935" s="15"/>
      <c r="B935" s="15"/>
      <c r="C935" s="14"/>
      <c r="D935" s="14"/>
      <c r="E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1:25" ht="14" customHeight="1">
      <c r="A936" s="15"/>
      <c r="B936" s="15"/>
      <c r="C936" s="14"/>
      <c r="D936" s="14"/>
      <c r="E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1:25" ht="14" customHeight="1">
      <c r="A937" s="15"/>
      <c r="B937" s="15"/>
      <c r="C937" s="14"/>
      <c r="D937" s="14"/>
      <c r="E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1:25" ht="14" customHeight="1">
      <c r="A938" s="15"/>
      <c r="B938" s="15"/>
      <c r="C938" s="14"/>
      <c r="D938" s="14"/>
      <c r="E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1:25" ht="14" customHeight="1">
      <c r="A939" s="15"/>
      <c r="B939" s="15"/>
      <c r="C939" s="14"/>
      <c r="D939" s="14"/>
      <c r="E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1:25" ht="14" customHeight="1">
      <c r="A940" s="15"/>
      <c r="B940" s="15"/>
      <c r="C940" s="14"/>
      <c r="D940" s="14"/>
      <c r="E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1:25" ht="14" customHeight="1">
      <c r="A941" s="15"/>
      <c r="B941" s="15"/>
      <c r="C941" s="14"/>
      <c r="D941" s="14"/>
      <c r="E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1:25" ht="14" customHeight="1">
      <c r="A942" s="15"/>
      <c r="B942" s="15"/>
      <c r="C942" s="14"/>
      <c r="D942" s="14"/>
      <c r="E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1:25" ht="14" customHeight="1">
      <c r="A943" s="15"/>
      <c r="B943" s="15"/>
      <c r="C943" s="14"/>
      <c r="D943" s="14"/>
      <c r="E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1:25" ht="14" customHeight="1">
      <c r="A944" s="15"/>
      <c r="B944" s="15"/>
      <c r="C944" s="14"/>
      <c r="D944" s="14"/>
      <c r="E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1:25" ht="14" customHeight="1">
      <c r="A945" s="15"/>
      <c r="B945" s="15"/>
      <c r="C945" s="14"/>
      <c r="D945" s="14"/>
      <c r="E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1:25" ht="14" customHeight="1">
      <c r="A946" s="15"/>
      <c r="B946" s="15"/>
      <c r="C946" s="14"/>
      <c r="D946" s="14"/>
      <c r="E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1:25" ht="14" customHeight="1">
      <c r="A947" s="15"/>
      <c r="B947" s="15"/>
      <c r="C947" s="14"/>
      <c r="D947" s="14"/>
      <c r="E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1:25" ht="14" customHeight="1">
      <c r="A948" s="15"/>
      <c r="B948" s="15"/>
      <c r="C948" s="14"/>
      <c r="D948" s="14"/>
      <c r="E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1:25" ht="14" customHeight="1">
      <c r="A949" s="15"/>
      <c r="B949" s="15"/>
      <c r="C949" s="14"/>
      <c r="D949" s="14"/>
      <c r="E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1:25" ht="14" customHeight="1">
      <c r="A950" s="15"/>
      <c r="B950" s="15"/>
      <c r="C950" s="14"/>
      <c r="D950" s="14"/>
      <c r="E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 ht="14" customHeight="1">
      <c r="A951" s="15"/>
      <c r="B951" s="15"/>
      <c r="C951" s="14"/>
      <c r="D951" s="14"/>
      <c r="E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1:25" ht="14" customHeight="1">
      <c r="A952" s="15"/>
      <c r="B952" s="15"/>
      <c r="C952" s="14"/>
      <c r="D952" s="14"/>
      <c r="E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1:25" ht="14" customHeight="1">
      <c r="A953" s="15"/>
      <c r="B953" s="15"/>
      <c r="C953" s="14"/>
      <c r="D953" s="14"/>
      <c r="E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1:25" ht="14" customHeight="1">
      <c r="A954" s="15"/>
      <c r="B954" s="15"/>
      <c r="C954" s="14"/>
      <c r="D954" s="14"/>
      <c r="E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1:25" ht="14" customHeight="1">
      <c r="A955" s="15"/>
      <c r="B955" s="15"/>
      <c r="C955" s="14"/>
      <c r="D955" s="14"/>
      <c r="E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1:25" ht="14" customHeight="1">
      <c r="A956" s="15"/>
      <c r="B956" s="15"/>
      <c r="C956" s="14"/>
      <c r="D956" s="14"/>
      <c r="E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1:25" ht="14" customHeight="1">
      <c r="A957" s="15"/>
      <c r="B957" s="15"/>
      <c r="C957" s="14"/>
      <c r="D957" s="14"/>
      <c r="E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1:25" ht="14" customHeight="1">
      <c r="A958" s="15"/>
      <c r="B958" s="15"/>
      <c r="C958" s="14"/>
      <c r="D958" s="14"/>
      <c r="E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1:25" ht="14" customHeight="1">
      <c r="A959" s="15"/>
      <c r="B959" s="15"/>
      <c r="C959" s="14"/>
      <c r="D959" s="14"/>
      <c r="E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1:25" ht="14" customHeight="1">
      <c r="A960" s="15"/>
      <c r="B960" s="15"/>
      <c r="C960" s="14"/>
      <c r="D960" s="14"/>
      <c r="E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1:25" ht="14" customHeight="1">
      <c r="A961" s="15"/>
      <c r="B961" s="15"/>
      <c r="C961" s="14"/>
      <c r="D961" s="14"/>
      <c r="E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1:25" ht="14" customHeight="1">
      <c r="A962" s="15"/>
      <c r="B962" s="15"/>
      <c r="C962" s="14"/>
      <c r="D962" s="14"/>
      <c r="E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1:25" ht="14" customHeight="1">
      <c r="A963" s="15"/>
      <c r="B963" s="15"/>
      <c r="C963" s="14"/>
      <c r="D963" s="14"/>
      <c r="E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1:25" ht="14" customHeight="1">
      <c r="A964" s="15"/>
      <c r="B964" s="15"/>
      <c r="C964" s="14"/>
      <c r="D964" s="14"/>
      <c r="E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1:25" ht="14" customHeight="1">
      <c r="A965" s="15"/>
      <c r="B965" s="15"/>
      <c r="C965" s="14"/>
      <c r="D965" s="14"/>
      <c r="E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1:25" ht="14" customHeight="1">
      <c r="A966" s="15"/>
      <c r="B966" s="15"/>
      <c r="C966" s="14"/>
      <c r="D966" s="14"/>
      <c r="E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1:25" ht="14" customHeight="1">
      <c r="A967" s="15"/>
      <c r="B967" s="15"/>
      <c r="C967" s="14"/>
      <c r="D967" s="14"/>
      <c r="E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1:25" ht="14" customHeight="1">
      <c r="A968" s="15"/>
      <c r="B968" s="15"/>
      <c r="C968" s="14"/>
      <c r="D968" s="14"/>
      <c r="E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1:25" ht="14" customHeight="1">
      <c r="A969" s="15"/>
      <c r="B969" s="15"/>
      <c r="C969" s="14"/>
      <c r="D969" s="14"/>
      <c r="E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1:25" ht="14" customHeight="1">
      <c r="A970" s="15"/>
      <c r="B970" s="15"/>
      <c r="C970" s="14"/>
      <c r="D970" s="14"/>
      <c r="E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spans="1:25" ht="14" customHeight="1">
      <c r="A971" s="15"/>
      <c r="B971" s="15"/>
      <c r="C971" s="14"/>
      <c r="D971" s="14"/>
      <c r="E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spans="1:25" ht="14" customHeight="1">
      <c r="A972" s="15"/>
      <c r="B972" s="15"/>
      <c r="C972" s="14"/>
      <c r="D972" s="14"/>
      <c r="E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spans="1:25" ht="14" customHeight="1">
      <c r="A973" s="15"/>
      <c r="B973" s="15"/>
      <c r="C973" s="14"/>
      <c r="D973" s="14"/>
      <c r="E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spans="1:25" ht="14" customHeight="1">
      <c r="A974" s="15"/>
      <c r="B974" s="15"/>
      <c r="C974" s="14"/>
      <c r="D974" s="14"/>
      <c r="E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spans="1:25" ht="14" customHeight="1">
      <c r="A975" s="15"/>
      <c r="B975" s="15"/>
      <c r="C975" s="14"/>
      <c r="D975" s="14"/>
      <c r="E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spans="1:25" ht="14" customHeight="1">
      <c r="A976" s="15"/>
      <c r="B976" s="15"/>
      <c r="C976" s="14"/>
      <c r="D976" s="14"/>
      <c r="E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spans="1:25" ht="14" customHeight="1">
      <c r="A977" s="15"/>
      <c r="B977" s="15"/>
      <c r="C977" s="14"/>
      <c r="D977" s="14"/>
      <c r="E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spans="1:25" ht="14" customHeight="1">
      <c r="A978" s="15"/>
      <c r="B978" s="15"/>
      <c r="C978" s="14"/>
      <c r="D978" s="14"/>
      <c r="E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spans="1:25" ht="14" customHeight="1">
      <c r="A979" s="15"/>
      <c r="B979" s="15"/>
      <c r="C979" s="14"/>
      <c r="D979" s="14"/>
      <c r="E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spans="1:25" ht="14" customHeight="1">
      <c r="A980" s="15"/>
      <c r="B980" s="15"/>
      <c r="C980" s="14"/>
      <c r="D980" s="14"/>
      <c r="E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spans="1:25" ht="14" customHeight="1">
      <c r="A981" s="15"/>
      <c r="B981" s="15"/>
      <c r="C981" s="14"/>
      <c r="D981" s="14"/>
      <c r="E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spans="1:25" ht="14" customHeight="1">
      <c r="A982" s="15"/>
      <c r="B982" s="15"/>
      <c r="C982" s="14"/>
      <c r="D982" s="14"/>
      <c r="E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spans="1:25" ht="14" customHeight="1">
      <c r="A983" s="15"/>
      <c r="B983" s="15"/>
      <c r="C983" s="14"/>
      <c r="D983" s="14"/>
      <c r="E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spans="1:25" ht="14" customHeight="1">
      <c r="A984" s="15"/>
      <c r="B984" s="15"/>
      <c r="C984" s="14"/>
      <c r="D984" s="14"/>
      <c r="E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spans="1:25" ht="14" customHeight="1">
      <c r="A985" s="15"/>
      <c r="B985" s="15"/>
      <c r="C985" s="14"/>
      <c r="D985" s="14"/>
      <c r="E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spans="1:25" ht="14" customHeight="1">
      <c r="A986" s="15"/>
      <c r="B986" s="15"/>
      <c r="C986" s="14"/>
      <c r="D986" s="14"/>
      <c r="E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spans="1:25" ht="14" customHeight="1">
      <c r="A987" s="15"/>
      <c r="B987" s="15"/>
      <c r="C987" s="14"/>
      <c r="D987" s="14"/>
      <c r="E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spans="1:25" ht="14" customHeight="1">
      <c r="A988" s="15"/>
      <c r="B988" s="15"/>
      <c r="C988" s="14"/>
      <c r="D988" s="14"/>
      <c r="E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spans="1:25" ht="14" customHeight="1">
      <c r="A989" s="15"/>
      <c r="B989" s="15"/>
      <c r="C989" s="14"/>
      <c r="D989" s="14"/>
      <c r="E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spans="1:25" ht="14" customHeight="1">
      <c r="A990" s="15"/>
      <c r="B990" s="15"/>
      <c r="C990" s="14"/>
      <c r="D990" s="14"/>
      <c r="E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spans="1:25" ht="14" customHeight="1">
      <c r="A991" s="15"/>
      <c r="B991" s="15"/>
      <c r="C991" s="14"/>
      <c r="D991" s="14"/>
      <c r="E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spans="1:25" ht="14" customHeight="1">
      <c r="A992" s="15"/>
      <c r="B992" s="15"/>
      <c r="C992" s="14"/>
      <c r="D992" s="14"/>
      <c r="E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spans="1:25" ht="14" customHeight="1">
      <c r="A993" s="15"/>
      <c r="B993" s="15"/>
      <c r="C993" s="14"/>
      <c r="D993" s="14"/>
      <c r="E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spans="1:25" ht="14" customHeight="1">
      <c r="A994" s="15"/>
      <c r="B994" s="15"/>
      <c r="C994" s="14"/>
      <c r="D994" s="14"/>
      <c r="E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spans="1:25" ht="14" customHeight="1">
      <c r="A995" s="15"/>
      <c r="B995" s="15"/>
      <c r="C995" s="14"/>
      <c r="D995" s="14"/>
      <c r="E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spans="1:25" ht="14" customHeight="1">
      <c r="A996" s="15"/>
      <c r="B996" s="15"/>
      <c r="C996" s="14"/>
      <c r="D996" s="14"/>
      <c r="E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spans="1:25" ht="14" customHeight="1">
      <c r="A997" s="15"/>
      <c r="B997" s="15"/>
      <c r="C997" s="14"/>
      <c r="D997" s="14"/>
      <c r="E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spans="1:25" ht="14" customHeight="1">
      <c r="A998" s="15"/>
      <c r="B998" s="15"/>
      <c r="C998" s="14"/>
      <c r="D998" s="14"/>
      <c r="E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FB2-1903-0042-ACE8-47D7240CC83A}">
  <dimension ref="A1:G47"/>
  <sheetViews>
    <sheetView workbookViewId="0">
      <selection activeCell="B2" sqref="B2"/>
    </sheetView>
  </sheetViews>
  <sheetFormatPr baseColWidth="10" defaultRowHeight="13"/>
  <cols>
    <col min="1" max="1" width="24.83203125" customWidth="1"/>
    <col min="2" max="2" width="19.5" customWidth="1"/>
    <col min="3" max="3" width="11.6640625" customWidth="1"/>
  </cols>
  <sheetData>
    <row r="1" spans="1:3">
      <c r="A1" s="19" t="s">
        <v>429</v>
      </c>
      <c r="B1" s="19" t="s">
        <v>430</v>
      </c>
      <c r="C1" s="19" t="s">
        <v>431</v>
      </c>
    </row>
    <row r="2" spans="1:3" ht="16">
      <c r="A2" s="20" t="s">
        <v>434</v>
      </c>
      <c r="B2" s="21" t="s">
        <v>703</v>
      </c>
      <c r="C2" s="21" t="s">
        <v>432</v>
      </c>
    </row>
    <row r="3" spans="1:3" ht="16">
      <c r="A3" s="21" t="s">
        <v>435</v>
      </c>
      <c r="B3" s="21" t="s">
        <v>704</v>
      </c>
      <c r="C3" s="21" t="s">
        <v>432</v>
      </c>
    </row>
    <row r="4" spans="1:3" ht="16">
      <c r="A4" s="22" t="s">
        <v>436</v>
      </c>
      <c r="B4" s="21" t="s">
        <v>705</v>
      </c>
      <c r="C4" s="21" t="s">
        <v>433</v>
      </c>
    </row>
    <row r="5" spans="1:3" ht="16">
      <c r="A5" s="21" t="s">
        <v>437</v>
      </c>
      <c r="B5" s="21" t="s">
        <v>706</v>
      </c>
      <c r="C5" s="21" t="s">
        <v>433</v>
      </c>
    </row>
    <row r="6" spans="1:3" ht="16">
      <c r="A6" s="21" t="s">
        <v>438</v>
      </c>
      <c r="B6" s="21" t="s">
        <v>707</v>
      </c>
      <c r="C6" s="21" t="s">
        <v>433</v>
      </c>
    </row>
    <row r="7" spans="1:3" ht="16">
      <c r="A7" s="21"/>
      <c r="B7" s="21"/>
      <c r="C7" s="21"/>
    </row>
    <row r="8" spans="1:3" ht="16">
      <c r="A8" s="21"/>
      <c r="B8" s="21"/>
      <c r="C8" s="21"/>
    </row>
    <row r="9" spans="1:3" ht="16">
      <c r="A9" s="21"/>
      <c r="B9" s="21"/>
      <c r="C9" s="21"/>
    </row>
    <row r="10" spans="1:3" ht="16">
      <c r="A10" s="21"/>
      <c r="B10" s="21"/>
      <c r="C10" s="21"/>
    </row>
    <row r="11" spans="1:3" ht="16">
      <c r="A11" s="21"/>
      <c r="B11" s="21"/>
      <c r="C11" s="21"/>
    </row>
    <row r="47" spans="7:7">
      <c r="G47" s="11"/>
    </row>
  </sheetData>
  <hyperlinks>
    <hyperlink ref="A4" r:id="rId1" xr:uid="{BF75923F-2700-EA40-8D2C-95CD49C771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10"/>
  <sheetViews>
    <sheetView workbookViewId="0"/>
  </sheetViews>
  <sheetFormatPr baseColWidth="10" defaultColWidth="8.83203125" defaultRowHeight="13"/>
  <sheetData>
    <row r="2" spans="1:22">
      <c r="A2" t="s">
        <v>380</v>
      </c>
      <c r="B2" t="s">
        <v>381</v>
      </c>
      <c r="C2" t="s">
        <v>382</v>
      </c>
      <c r="D2" t="s">
        <v>383</v>
      </c>
      <c r="E2" t="s">
        <v>384</v>
      </c>
      <c r="F2" t="s">
        <v>385</v>
      </c>
      <c r="G2" t="s">
        <v>386</v>
      </c>
      <c r="H2" t="s">
        <v>342</v>
      </c>
      <c r="I2" t="s">
        <v>387</v>
      </c>
      <c r="J2" t="s">
        <v>388</v>
      </c>
      <c r="K2" t="s">
        <v>389</v>
      </c>
      <c r="L2" t="s">
        <v>390</v>
      </c>
      <c r="M2" t="s">
        <v>391</v>
      </c>
      <c r="N2" t="s">
        <v>392</v>
      </c>
      <c r="O2" t="s">
        <v>393</v>
      </c>
      <c r="P2" t="s">
        <v>394</v>
      </c>
      <c r="Q2" t="s">
        <v>395</v>
      </c>
      <c r="R2" t="s">
        <v>396</v>
      </c>
      <c r="S2" t="s">
        <v>344</v>
      </c>
      <c r="T2" t="s">
        <v>345</v>
      </c>
      <c r="U2" t="s">
        <v>347</v>
      </c>
      <c r="V2" t="s">
        <v>349</v>
      </c>
    </row>
    <row r="3" spans="1:22">
      <c r="A3" t="s">
        <v>397</v>
      </c>
      <c r="B3">
        <v>1</v>
      </c>
      <c r="C3" t="s">
        <v>100</v>
      </c>
      <c r="D3" t="s">
        <v>398</v>
      </c>
      <c r="E3" t="s">
        <v>397</v>
      </c>
      <c r="F3" t="s">
        <v>16</v>
      </c>
      <c r="G3" t="s">
        <v>399</v>
      </c>
      <c r="H3" t="s">
        <v>351</v>
      </c>
      <c r="I3" t="s">
        <v>400</v>
      </c>
      <c r="J3">
        <v>1500</v>
      </c>
      <c r="K3">
        <v>3150</v>
      </c>
      <c r="L3">
        <v>600</v>
      </c>
      <c r="M3">
        <v>0</v>
      </c>
      <c r="N3">
        <v>900</v>
      </c>
      <c r="O3">
        <v>750</v>
      </c>
      <c r="P3">
        <v>900</v>
      </c>
      <c r="Q3">
        <v>2400</v>
      </c>
      <c r="R3">
        <v>1</v>
      </c>
      <c r="S3" t="s">
        <v>352</v>
      </c>
      <c r="T3" t="s">
        <v>353</v>
      </c>
      <c r="U3" t="s">
        <v>353</v>
      </c>
      <c r="V3" t="s">
        <v>353</v>
      </c>
    </row>
    <row r="4" spans="1:22">
      <c r="A4" t="s">
        <v>401</v>
      </c>
      <c r="B4">
        <v>1</v>
      </c>
      <c r="C4" t="s">
        <v>100</v>
      </c>
      <c r="D4" t="s">
        <v>398</v>
      </c>
      <c r="E4" t="s">
        <v>397</v>
      </c>
      <c r="F4" t="s">
        <v>16</v>
      </c>
      <c r="G4" t="s">
        <v>399</v>
      </c>
      <c r="H4" t="s">
        <v>351</v>
      </c>
      <c r="I4" t="s">
        <v>400</v>
      </c>
      <c r="J4">
        <v>1500</v>
      </c>
      <c r="K4">
        <v>3150</v>
      </c>
      <c r="L4">
        <v>600</v>
      </c>
      <c r="M4">
        <v>0</v>
      </c>
      <c r="N4">
        <v>900</v>
      </c>
      <c r="O4">
        <v>750</v>
      </c>
      <c r="P4">
        <v>900</v>
      </c>
      <c r="Q4">
        <v>2400</v>
      </c>
      <c r="R4">
        <v>1</v>
      </c>
      <c r="S4" t="s">
        <v>352</v>
      </c>
      <c r="T4" t="s">
        <v>353</v>
      </c>
      <c r="U4" t="s">
        <v>353</v>
      </c>
      <c r="V4" t="s">
        <v>353</v>
      </c>
    </row>
    <row r="5" spans="1:22">
      <c r="A5" t="s">
        <v>402</v>
      </c>
      <c r="B5">
        <v>1</v>
      </c>
      <c r="C5" t="s">
        <v>100</v>
      </c>
      <c r="D5" t="s">
        <v>398</v>
      </c>
      <c r="E5" t="s">
        <v>397</v>
      </c>
      <c r="F5" t="s">
        <v>16</v>
      </c>
      <c r="G5" t="s">
        <v>399</v>
      </c>
      <c r="H5" t="s">
        <v>351</v>
      </c>
      <c r="I5" t="s">
        <v>400</v>
      </c>
      <c r="J5">
        <v>1500</v>
      </c>
      <c r="K5">
        <v>3150</v>
      </c>
      <c r="L5">
        <v>600</v>
      </c>
      <c r="M5">
        <v>0</v>
      </c>
      <c r="N5">
        <v>900</v>
      </c>
      <c r="O5">
        <v>750</v>
      </c>
      <c r="P5">
        <v>900</v>
      </c>
      <c r="Q5">
        <v>2400</v>
      </c>
      <c r="R5">
        <v>1</v>
      </c>
      <c r="S5" t="s">
        <v>352</v>
      </c>
      <c r="T5" t="s">
        <v>353</v>
      </c>
      <c r="U5" t="s">
        <v>353</v>
      </c>
      <c r="V5" t="s">
        <v>353</v>
      </c>
    </row>
    <row r="6" spans="1:22">
      <c r="A6" t="s">
        <v>403</v>
      </c>
      <c r="B6">
        <v>1</v>
      </c>
      <c r="C6" t="s">
        <v>100</v>
      </c>
      <c r="D6" t="s">
        <v>398</v>
      </c>
      <c r="E6" t="s">
        <v>397</v>
      </c>
      <c r="F6" t="s">
        <v>16</v>
      </c>
      <c r="G6" t="s">
        <v>399</v>
      </c>
      <c r="H6" t="s">
        <v>351</v>
      </c>
      <c r="I6" t="s">
        <v>400</v>
      </c>
      <c r="J6">
        <v>1500</v>
      </c>
      <c r="K6">
        <v>3150</v>
      </c>
      <c r="L6">
        <v>600</v>
      </c>
      <c r="M6">
        <v>0</v>
      </c>
      <c r="N6">
        <v>900</v>
      </c>
      <c r="O6">
        <v>750</v>
      </c>
      <c r="P6">
        <v>900</v>
      </c>
      <c r="Q6">
        <v>2400</v>
      </c>
      <c r="R6">
        <v>1</v>
      </c>
      <c r="S6" t="s">
        <v>352</v>
      </c>
      <c r="T6" t="s">
        <v>353</v>
      </c>
      <c r="U6" t="s">
        <v>353</v>
      </c>
      <c r="V6" t="s">
        <v>353</v>
      </c>
    </row>
    <row r="7" spans="1:22">
      <c r="A7" t="s">
        <v>397</v>
      </c>
      <c r="B7">
        <v>1</v>
      </c>
      <c r="C7" t="s">
        <v>100</v>
      </c>
      <c r="D7" t="s">
        <v>404</v>
      </c>
      <c r="E7" t="s">
        <v>397</v>
      </c>
      <c r="F7" t="s">
        <v>16</v>
      </c>
      <c r="G7" t="s">
        <v>399</v>
      </c>
      <c r="H7" t="s">
        <v>351</v>
      </c>
      <c r="I7" t="s">
        <v>400</v>
      </c>
      <c r="J7">
        <v>1500</v>
      </c>
      <c r="K7">
        <v>3150</v>
      </c>
      <c r="L7">
        <v>600</v>
      </c>
      <c r="M7">
        <v>0</v>
      </c>
      <c r="N7">
        <v>900</v>
      </c>
      <c r="O7">
        <v>750</v>
      </c>
      <c r="P7">
        <v>900</v>
      </c>
      <c r="Q7">
        <v>2400</v>
      </c>
      <c r="R7">
        <v>1</v>
      </c>
      <c r="S7" t="s">
        <v>352</v>
      </c>
      <c r="T7" t="s">
        <v>355</v>
      </c>
      <c r="U7" t="s">
        <v>353</v>
      </c>
      <c r="V7" t="s">
        <v>353</v>
      </c>
    </row>
    <row r="8" spans="1:22">
      <c r="A8" t="s">
        <v>405</v>
      </c>
      <c r="B8">
        <v>1</v>
      </c>
      <c r="C8" t="s">
        <v>100</v>
      </c>
      <c r="D8" t="s">
        <v>404</v>
      </c>
      <c r="E8" t="s">
        <v>397</v>
      </c>
      <c r="F8" t="s">
        <v>16</v>
      </c>
      <c r="G8" t="s">
        <v>399</v>
      </c>
      <c r="H8" t="s">
        <v>351</v>
      </c>
      <c r="I8" t="s">
        <v>400</v>
      </c>
      <c r="J8">
        <v>1500</v>
      </c>
      <c r="K8">
        <v>3150</v>
      </c>
      <c r="L8">
        <v>600</v>
      </c>
      <c r="M8">
        <v>0</v>
      </c>
      <c r="N8">
        <v>900</v>
      </c>
      <c r="O8">
        <v>750</v>
      </c>
      <c r="P8">
        <v>900</v>
      </c>
      <c r="Q8">
        <v>2400</v>
      </c>
      <c r="R8">
        <v>1</v>
      </c>
      <c r="S8" t="s">
        <v>352</v>
      </c>
      <c r="T8" t="s">
        <v>355</v>
      </c>
      <c r="U8" t="s">
        <v>353</v>
      </c>
      <c r="V8" t="s">
        <v>353</v>
      </c>
    </row>
    <row r="9" spans="1:22">
      <c r="A9" t="s">
        <v>406</v>
      </c>
      <c r="B9">
        <v>1</v>
      </c>
      <c r="C9" t="s">
        <v>100</v>
      </c>
      <c r="D9" t="s">
        <v>404</v>
      </c>
      <c r="E9" t="s">
        <v>397</v>
      </c>
      <c r="F9" t="s">
        <v>16</v>
      </c>
      <c r="G9" t="s">
        <v>399</v>
      </c>
      <c r="H9" t="s">
        <v>351</v>
      </c>
      <c r="I9" t="s">
        <v>400</v>
      </c>
      <c r="J9">
        <v>1500</v>
      </c>
      <c r="K9">
        <v>3150</v>
      </c>
      <c r="L9">
        <v>600</v>
      </c>
      <c r="M9">
        <v>0</v>
      </c>
      <c r="N9">
        <v>900</v>
      </c>
      <c r="O9">
        <v>750</v>
      </c>
      <c r="P9">
        <v>900</v>
      </c>
      <c r="Q9">
        <v>2400</v>
      </c>
      <c r="R9">
        <v>1</v>
      </c>
      <c r="S9" t="s">
        <v>352</v>
      </c>
      <c r="T9" t="s">
        <v>355</v>
      </c>
      <c r="U9" t="s">
        <v>353</v>
      </c>
      <c r="V9" t="s">
        <v>353</v>
      </c>
    </row>
    <row r="10" spans="1:22">
      <c r="A10" t="s">
        <v>407</v>
      </c>
      <c r="B10">
        <v>1</v>
      </c>
      <c r="C10" t="s">
        <v>100</v>
      </c>
      <c r="D10" t="s">
        <v>404</v>
      </c>
      <c r="E10" t="s">
        <v>397</v>
      </c>
      <c r="F10" t="s">
        <v>101</v>
      </c>
      <c r="G10" t="s">
        <v>399</v>
      </c>
      <c r="H10" t="s">
        <v>351</v>
      </c>
      <c r="I10" t="s">
        <v>400</v>
      </c>
      <c r="J10">
        <v>3050</v>
      </c>
      <c r="K10">
        <v>2860</v>
      </c>
      <c r="L10">
        <v>2050</v>
      </c>
      <c r="M10">
        <v>0</v>
      </c>
      <c r="N10">
        <v>1000</v>
      </c>
      <c r="O10">
        <v>660</v>
      </c>
      <c r="P10">
        <v>1000</v>
      </c>
      <c r="Q10">
        <v>2200</v>
      </c>
      <c r="R10">
        <v>1</v>
      </c>
      <c r="S10" t="s">
        <v>352</v>
      </c>
      <c r="T10" t="s">
        <v>353</v>
      </c>
      <c r="U10" t="s">
        <v>353</v>
      </c>
      <c r="V10" t="s">
        <v>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baseColWidth="10" defaultColWidth="8.83203125" defaultRowHeight="13"/>
  <sheetData>
    <row r="1" spans="1:2">
      <c r="A1" t="s">
        <v>3</v>
      </c>
      <c r="B1" t="s">
        <v>408</v>
      </c>
    </row>
    <row r="2" spans="1:2">
      <c r="A2" t="s">
        <v>25</v>
      </c>
      <c r="B2">
        <v>11.82</v>
      </c>
    </row>
    <row r="3" spans="1:2">
      <c r="A3" t="s">
        <v>361</v>
      </c>
      <c r="B3">
        <v>5.72</v>
      </c>
    </row>
    <row r="4" spans="1:2">
      <c r="A4" t="s">
        <v>362</v>
      </c>
      <c r="B4">
        <v>3.05</v>
      </c>
    </row>
    <row r="5" spans="1:2">
      <c r="A5" t="s">
        <v>363</v>
      </c>
      <c r="B5">
        <v>6.4</v>
      </c>
    </row>
    <row r="6" spans="1:2">
      <c r="A6" t="s">
        <v>84</v>
      </c>
      <c r="B6">
        <v>6.3936063936063936E-3</v>
      </c>
    </row>
    <row r="7" spans="1:2">
      <c r="A7" t="s">
        <v>89</v>
      </c>
      <c r="B7">
        <v>11.82</v>
      </c>
    </row>
    <row r="8" spans="1:2">
      <c r="A8" t="s">
        <v>365</v>
      </c>
      <c r="B8">
        <v>11.82</v>
      </c>
    </row>
    <row r="9" spans="1:2">
      <c r="A9" t="s">
        <v>366</v>
      </c>
      <c r="B9">
        <v>5.8630000000000004</v>
      </c>
    </row>
    <row r="10" spans="1:2">
      <c r="A10" t="s">
        <v>367</v>
      </c>
      <c r="B10">
        <v>2.2000000000000002</v>
      </c>
    </row>
    <row r="11" spans="1:2">
      <c r="A11" t="s">
        <v>368</v>
      </c>
      <c r="B11">
        <v>2.0129999999999999</v>
      </c>
    </row>
    <row r="12" spans="1:2">
      <c r="A12" t="s">
        <v>369</v>
      </c>
      <c r="B12">
        <v>8.7230000000000008</v>
      </c>
    </row>
    <row r="13" spans="1:2">
      <c r="A13" t="s">
        <v>370</v>
      </c>
      <c r="B13">
        <v>6.4</v>
      </c>
    </row>
    <row r="14" spans="1:2">
      <c r="A14" t="s">
        <v>364</v>
      </c>
      <c r="B14">
        <v>6.4</v>
      </c>
    </row>
    <row r="15" spans="1:2">
      <c r="A15" t="s">
        <v>372</v>
      </c>
      <c r="B15">
        <v>23.64</v>
      </c>
    </row>
    <row r="16" spans="1:2">
      <c r="A16" t="s">
        <v>223</v>
      </c>
      <c r="B16">
        <v>6.4</v>
      </c>
    </row>
    <row r="17" spans="1:2">
      <c r="A17" t="s">
        <v>373</v>
      </c>
      <c r="B17">
        <v>11.82</v>
      </c>
    </row>
    <row r="18" spans="1:2">
      <c r="A18" t="s">
        <v>374</v>
      </c>
      <c r="B18">
        <v>3</v>
      </c>
    </row>
    <row r="19" spans="1:2">
      <c r="A19" t="s">
        <v>79</v>
      </c>
      <c r="B19">
        <v>12</v>
      </c>
    </row>
    <row r="20" spans="1:2">
      <c r="A20" t="s">
        <v>375</v>
      </c>
      <c r="B20">
        <v>3</v>
      </c>
    </row>
    <row r="21" spans="1:2">
      <c r="A21" t="s">
        <v>50</v>
      </c>
      <c r="B21">
        <v>1</v>
      </c>
    </row>
    <row r="22" spans="1:2">
      <c r="A22" t="s">
        <v>376</v>
      </c>
      <c r="B22">
        <v>1</v>
      </c>
    </row>
    <row r="23" spans="1:2">
      <c r="A23" t="s">
        <v>377</v>
      </c>
      <c r="B23">
        <v>1</v>
      </c>
    </row>
    <row r="24" spans="1:2">
      <c r="A24" t="s">
        <v>378</v>
      </c>
      <c r="B24">
        <v>1</v>
      </c>
    </row>
    <row r="25" spans="1:2">
      <c r="A25" t="s">
        <v>106</v>
      </c>
      <c r="B25">
        <v>1</v>
      </c>
    </row>
    <row r="26" spans="1:2">
      <c r="A26" t="s">
        <v>379</v>
      </c>
      <c r="B2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workbookViewId="0"/>
  </sheetViews>
  <sheetFormatPr baseColWidth="10" defaultColWidth="8.83203125" defaultRowHeight="13"/>
  <sheetData>
    <row r="1" spans="1:13">
      <c r="A1" t="s">
        <v>382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409</v>
      </c>
      <c r="H1" t="s">
        <v>8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</row>
    <row r="2" spans="1:13">
      <c r="A2" t="s">
        <v>100</v>
      </c>
      <c r="B2" t="s">
        <v>101</v>
      </c>
      <c r="C2" t="s">
        <v>84</v>
      </c>
      <c r="D2" t="s">
        <v>103</v>
      </c>
      <c r="E2" t="s">
        <v>102</v>
      </c>
      <c r="F2" t="s">
        <v>21</v>
      </c>
      <c r="G2">
        <v>150</v>
      </c>
      <c r="H2" t="s">
        <v>21</v>
      </c>
      <c r="I2">
        <v>6.4</v>
      </c>
      <c r="J2">
        <v>27</v>
      </c>
      <c r="K2" t="s">
        <v>87</v>
      </c>
      <c r="L2">
        <v>1</v>
      </c>
      <c r="M2">
        <v>4050</v>
      </c>
    </row>
    <row r="3" spans="1:13">
      <c r="A3" t="s">
        <v>100</v>
      </c>
      <c r="B3" t="s">
        <v>101</v>
      </c>
      <c r="C3" t="s">
        <v>106</v>
      </c>
      <c r="D3" t="s">
        <v>107</v>
      </c>
      <c r="E3" t="s">
        <v>105</v>
      </c>
      <c r="F3" t="s">
        <v>48</v>
      </c>
      <c r="G3">
        <v>2505</v>
      </c>
      <c r="H3" t="s">
        <v>48</v>
      </c>
      <c r="I3">
        <v>1</v>
      </c>
      <c r="J3">
        <v>1</v>
      </c>
      <c r="K3" t="s">
        <v>48</v>
      </c>
      <c r="L3">
        <v>1</v>
      </c>
      <c r="M3">
        <v>2505</v>
      </c>
    </row>
    <row r="4" spans="1:13">
      <c r="A4" t="s">
        <v>100</v>
      </c>
      <c r="B4" t="s">
        <v>101</v>
      </c>
      <c r="C4" t="s">
        <v>110</v>
      </c>
      <c r="D4" t="s">
        <v>111</v>
      </c>
      <c r="E4" t="s">
        <v>109</v>
      </c>
      <c r="F4" t="s">
        <v>48</v>
      </c>
      <c r="G4">
        <v>3429</v>
      </c>
      <c r="H4" t="s">
        <v>48</v>
      </c>
      <c r="I4">
        <v>1</v>
      </c>
      <c r="J4">
        <v>1</v>
      </c>
      <c r="K4" t="s">
        <v>48</v>
      </c>
      <c r="L4">
        <v>1</v>
      </c>
      <c r="M4">
        <v>3429</v>
      </c>
    </row>
    <row r="5" spans="1:13">
      <c r="A5" t="s">
        <v>100</v>
      </c>
      <c r="B5" t="s">
        <v>101</v>
      </c>
      <c r="C5" t="s">
        <v>114</v>
      </c>
      <c r="D5" t="s">
        <v>115</v>
      </c>
      <c r="E5" t="s">
        <v>113</v>
      </c>
      <c r="F5" t="s">
        <v>48</v>
      </c>
      <c r="G5">
        <v>3670</v>
      </c>
      <c r="H5" t="s">
        <v>48</v>
      </c>
      <c r="I5">
        <v>1</v>
      </c>
      <c r="J5">
        <v>1</v>
      </c>
      <c r="K5" t="s">
        <v>48</v>
      </c>
      <c r="L5">
        <v>1</v>
      </c>
      <c r="M5">
        <v>3670</v>
      </c>
    </row>
    <row r="6" spans="1:13">
      <c r="A6" t="s">
        <v>100</v>
      </c>
      <c r="B6" t="s">
        <v>101</v>
      </c>
      <c r="C6" t="s">
        <v>117</v>
      </c>
      <c r="D6" t="s">
        <v>118</v>
      </c>
      <c r="E6" t="s">
        <v>116</v>
      </c>
      <c r="F6" t="s">
        <v>119</v>
      </c>
      <c r="G6">
        <v>3120</v>
      </c>
      <c r="H6" t="s">
        <v>119</v>
      </c>
      <c r="I6">
        <v>1</v>
      </c>
      <c r="J6">
        <v>1</v>
      </c>
      <c r="K6" t="s">
        <v>119</v>
      </c>
      <c r="L6">
        <v>1</v>
      </c>
      <c r="M6">
        <v>3120</v>
      </c>
    </row>
    <row r="7" spans="1:13">
      <c r="A7" t="s">
        <v>100</v>
      </c>
      <c r="B7" t="s">
        <v>101</v>
      </c>
      <c r="C7" t="s">
        <v>172</v>
      </c>
      <c r="D7" t="s">
        <v>173</v>
      </c>
      <c r="E7" t="s">
        <v>171</v>
      </c>
      <c r="F7" t="s">
        <v>21</v>
      </c>
      <c r="G7">
        <v>6962</v>
      </c>
      <c r="H7" t="s">
        <v>21</v>
      </c>
      <c r="I7">
        <v>4.4000000000000004</v>
      </c>
      <c r="J7">
        <v>2</v>
      </c>
      <c r="K7" t="s">
        <v>22</v>
      </c>
      <c r="L7">
        <v>3</v>
      </c>
      <c r="M7">
        <v>41772</v>
      </c>
    </row>
    <row r="8" spans="1:13">
      <c r="A8" t="s">
        <v>100</v>
      </c>
      <c r="B8" t="s">
        <v>101</v>
      </c>
      <c r="C8" t="s">
        <v>179</v>
      </c>
      <c r="D8" t="s">
        <v>180</v>
      </c>
      <c r="E8" t="s">
        <v>178</v>
      </c>
      <c r="F8" t="s">
        <v>21</v>
      </c>
      <c r="G8">
        <v>6962</v>
      </c>
      <c r="H8" t="s">
        <v>21</v>
      </c>
      <c r="I8">
        <v>11.82</v>
      </c>
      <c r="J8">
        <v>6</v>
      </c>
      <c r="K8" t="s">
        <v>22</v>
      </c>
      <c r="L8">
        <v>2</v>
      </c>
      <c r="M8">
        <v>83544</v>
      </c>
    </row>
    <row r="9" spans="1:13">
      <c r="A9" t="s">
        <v>100</v>
      </c>
      <c r="B9" t="s">
        <v>101</v>
      </c>
      <c r="C9" t="s">
        <v>183</v>
      </c>
      <c r="D9" t="s">
        <v>184</v>
      </c>
      <c r="E9" t="s">
        <v>182</v>
      </c>
      <c r="F9" t="s">
        <v>21</v>
      </c>
      <c r="G9">
        <v>6962</v>
      </c>
      <c r="H9" t="s">
        <v>21</v>
      </c>
      <c r="I9">
        <v>6.4</v>
      </c>
      <c r="J9">
        <v>6</v>
      </c>
      <c r="K9" t="s">
        <v>22</v>
      </c>
      <c r="L9">
        <v>2</v>
      </c>
      <c r="M9">
        <v>83544</v>
      </c>
    </row>
    <row r="10" spans="1:13">
      <c r="A10" t="s">
        <v>100</v>
      </c>
      <c r="B10" t="s">
        <v>101</v>
      </c>
      <c r="C10" t="s">
        <v>152</v>
      </c>
      <c r="D10" t="s">
        <v>186</v>
      </c>
      <c r="E10" t="s">
        <v>185</v>
      </c>
      <c r="F10" t="s">
        <v>21</v>
      </c>
      <c r="G10">
        <v>2335</v>
      </c>
      <c r="H10" t="s">
        <v>21</v>
      </c>
      <c r="I10">
        <v>3.05</v>
      </c>
      <c r="J10">
        <v>2</v>
      </c>
      <c r="K10" t="s">
        <v>22</v>
      </c>
      <c r="L10">
        <v>2</v>
      </c>
      <c r="M10">
        <v>9340</v>
      </c>
    </row>
    <row r="11" spans="1:13">
      <c r="A11" t="s">
        <v>100</v>
      </c>
      <c r="B11" t="s">
        <v>101</v>
      </c>
      <c r="C11" t="s">
        <v>62</v>
      </c>
      <c r="D11" t="s">
        <v>189</v>
      </c>
      <c r="E11" t="s">
        <v>188</v>
      </c>
      <c r="F11" t="s">
        <v>48</v>
      </c>
      <c r="G11">
        <v>196</v>
      </c>
      <c r="H11" t="s">
        <v>48</v>
      </c>
      <c r="I11">
        <v>4</v>
      </c>
      <c r="J11">
        <v>1</v>
      </c>
      <c r="K11" t="s">
        <v>48</v>
      </c>
      <c r="L11">
        <v>4</v>
      </c>
      <c r="M11">
        <v>784</v>
      </c>
    </row>
    <row r="12" spans="1:13">
      <c r="A12" t="s">
        <v>100</v>
      </c>
      <c r="B12" t="s">
        <v>101</v>
      </c>
      <c r="C12" t="s">
        <v>62</v>
      </c>
      <c r="D12" t="s">
        <v>193</v>
      </c>
      <c r="E12" t="s">
        <v>192</v>
      </c>
      <c r="F12" t="s">
        <v>48</v>
      </c>
      <c r="G12">
        <v>313</v>
      </c>
      <c r="H12" t="s">
        <v>48</v>
      </c>
      <c r="I12">
        <v>4</v>
      </c>
      <c r="J12">
        <v>1</v>
      </c>
      <c r="K12" t="s">
        <v>48</v>
      </c>
      <c r="L12">
        <v>4</v>
      </c>
      <c r="M12">
        <v>1252</v>
      </c>
    </row>
    <row r="13" spans="1:13">
      <c r="A13" t="s">
        <v>100</v>
      </c>
      <c r="B13" t="s">
        <v>101</v>
      </c>
      <c r="C13" t="s">
        <v>196</v>
      </c>
      <c r="D13" t="s">
        <v>197</v>
      </c>
      <c r="E13" t="s">
        <v>195</v>
      </c>
      <c r="F13" t="s">
        <v>48</v>
      </c>
      <c r="G13">
        <v>102</v>
      </c>
      <c r="H13" t="s">
        <v>48</v>
      </c>
      <c r="I13">
        <v>0</v>
      </c>
      <c r="J13">
        <v>1</v>
      </c>
      <c r="K13" t="s">
        <v>48</v>
      </c>
      <c r="L13">
        <v>0</v>
      </c>
      <c r="M13">
        <v>0</v>
      </c>
    </row>
    <row r="14" spans="1:13">
      <c r="A14" t="s">
        <v>100</v>
      </c>
      <c r="B14" t="s">
        <v>101</v>
      </c>
      <c r="C14" t="s">
        <v>52</v>
      </c>
      <c r="D14" t="s">
        <v>199</v>
      </c>
      <c r="E14" t="s">
        <v>198</v>
      </c>
      <c r="F14" t="s">
        <v>48</v>
      </c>
      <c r="G14">
        <v>116</v>
      </c>
      <c r="H14" t="s">
        <v>48</v>
      </c>
      <c r="I14">
        <v>0</v>
      </c>
      <c r="J14">
        <v>1</v>
      </c>
      <c r="K14" t="s">
        <v>48</v>
      </c>
      <c r="L14">
        <v>0</v>
      </c>
      <c r="M14">
        <v>0</v>
      </c>
    </row>
    <row r="15" spans="1:13">
      <c r="A15" t="s">
        <v>100</v>
      </c>
      <c r="B15" t="s">
        <v>101</v>
      </c>
      <c r="C15" t="s">
        <v>202</v>
      </c>
      <c r="D15" t="s">
        <v>203</v>
      </c>
      <c r="E15" t="s">
        <v>201</v>
      </c>
      <c r="F15" t="s">
        <v>21</v>
      </c>
      <c r="G15">
        <v>919</v>
      </c>
      <c r="H15" t="s">
        <v>21</v>
      </c>
      <c r="I15">
        <v>1</v>
      </c>
      <c r="J15">
        <v>13</v>
      </c>
      <c r="K15" t="s">
        <v>87</v>
      </c>
      <c r="L15">
        <v>1</v>
      </c>
      <c r="M15">
        <v>11947</v>
      </c>
    </row>
    <row r="16" spans="1:13">
      <c r="A16" t="s">
        <v>100</v>
      </c>
      <c r="B16" t="s">
        <v>101</v>
      </c>
      <c r="C16" t="s">
        <v>250</v>
      </c>
      <c r="D16" t="s">
        <v>251</v>
      </c>
      <c r="E16" t="s">
        <v>249</v>
      </c>
      <c r="F16" t="s">
        <v>119</v>
      </c>
      <c r="G16">
        <v>384</v>
      </c>
      <c r="H16" t="s">
        <v>119</v>
      </c>
      <c r="I16">
        <v>1</v>
      </c>
      <c r="J16">
        <v>1</v>
      </c>
      <c r="K16" t="s">
        <v>119</v>
      </c>
      <c r="L16">
        <v>1</v>
      </c>
      <c r="M16">
        <v>384</v>
      </c>
    </row>
    <row r="17" spans="1:13">
      <c r="A17" t="s">
        <v>100</v>
      </c>
      <c r="B17" t="s">
        <v>101</v>
      </c>
      <c r="C17" t="s">
        <v>156</v>
      </c>
      <c r="D17" t="s">
        <v>254</v>
      </c>
      <c r="E17" t="s">
        <v>253</v>
      </c>
      <c r="F17" t="s">
        <v>21</v>
      </c>
      <c r="G17">
        <v>7827</v>
      </c>
      <c r="H17" t="s">
        <v>21</v>
      </c>
      <c r="I17">
        <v>11.82</v>
      </c>
      <c r="J17">
        <v>6</v>
      </c>
      <c r="K17" t="s">
        <v>22</v>
      </c>
      <c r="L17">
        <v>2</v>
      </c>
      <c r="M17">
        <v>93924</v>
      </c>
    </row>
    <row r="18" spans="1:13">
      <c r="A18" t="s">
        <v>100</v>
      </c>
      <c r="B18" t="s">
        <v>101</v>
      </c>
      <c r="C18" t="s">
        <v>256</v>
      </c>
      <c r="D18" t="s">
        <v>257</v>
      </c>
      <c r="E18" t="s">
        <v>255</v>
      </c>
      <c r="F18" t="s">
        <v>21</v>
      </c>
      <c r="G18">
        <v>8225</v>
      </c>
      <c r="H18" t="s">
        <v>21</v>
      </c>
      <c r="I18">
        <v>0</v>
      </c>
      <c r="J18">
        <v>6</v>
      </c>
      <c r="K18" t="s">
        <v>22</v>
      </c>
      <c r="L18">
        <v>0</v>
      </c>
      <c r="M18">
        <v>0</v>
      </c>
    </row>
    <row r="19" spans="1:13">
      <c r="A19" t="s">
        <v>100</v>
      </c>
      <c r="B19" t="s">
        <v>101</v>
      </c>
      <c r="C19" t="s">
        <v>212</v>
      </c>
      <c r="D19" t="s">
        <v>261</v>
      </c>
      <c r="E19" t="s">
        <v>260</v>
      </c>
      <c r="F19" t="s">
        <v>21</v>
      </c>
      <c r="G19">
        <v>992</v>
      </c>
      <c r="H19" t="s">
        <v>21</v>
      </c>
      <c r="I19">
        <v>11.82</v>
      </c>
      <c r="J19">
        <v>6</v>
      </c>
      <c r="K19" t="s">
        <v>22</v>
      </c>
      <c r="L19">
        <v>2</v>
      </c>
      <c r="M19">
        <v>11904</v>
      </c>
    </row>
    <row r="20" spans="1:13">
      <c r="A20" t="s">
        <v>100</v>
      </c>
      <c r="B20" t="s">
        <v>101</v>
      </c>
      <c r="C20" t="s">
        <v>159</v>
      </c>
      <c r="D20" t="s">
        <v>263</v>
      </c>
      <c r="E20" t="s">
        <v>262</v>
      </c>
      <c r="F20" t="s">
        <v>21</v>
      </c>
      <c r="G20">
        <v>153</v>
      </c>
      <c r="H20" t="s">
        <v>21</v>
      </c>
      <c r="I20">
        <v>6.4</v>
      </c>
      <c r="J20">
        <v>6</v>
      </c>
      <c r="K20" t="s">
        <v>22</v>
      </c>
      <c r="L20">
        <v>2</v>
      </c>
      <c r="M20">
        <v>1836</v>
      </c>
    </row>
    <row r="21" spans="1:13">
      <c r="A21" t="s">
        <v>100</v>
      </c>
      <c r="B21" t="s">
        <v>101</v>
      </c>
      <c r="C21" t="s">
        <v>212</v>
      </c>
      <c r="D21" t="s">
        <v>189</v>
      </c>
      <c r="E21" t="s">
        <v>264</v>
      </c>
      <c r="F21" t="s">
        <v>21</v>
      </c>
      <c r="G21">
        <v>196</v>
      </c>
      <c r="H21" t="s">
        <v>21</v>
      </c>
      <c r="I21">
        <v>23.64</v>
      </c>
      <c r="J21">
        <v>6</v>
      </c>
      <c r="K21" t="s">
        <v>22</v>
      </c>
      <c r="L21">
        <v>4</v>
      </c>
      <c r="M21">
        <v>4704</v>
      </c>
    </row>
    <row r="22" spans="1:13">
      <c r="A22" t="s">
        <v>100</v>
      </c>
      <c r="B22" t="s">
        <v>101</v>
      </c>
      <c r="C22" t="s">
        <v>228</v>
      </c>
      <c r="D22" t="s">
        <v>267</v>
      </c>
      <c r="E22" t="s">
        <v>266</v>
      </c>
      <c r="F22" t="s">
        <v>119</v>
      </c>
      <c r="G22">
        <v>62832</v>
      </c>
      <c r="H22" t="s">
        <v>119</v>
      </c>
      <c r="I22">
        <v>3</v>
      </c>
      <c r="J22">
        <v>1</v>
      </c>
      <c r="K22" t="s">
        <v>48</v>
      </c>
      <c r="L22">
        <v>3</v>
      </c>
      <c r="M22">
        <v>188496</v>
      </c>
    </row>
    <row r="23" spans="1:13">
      <c r="A23" t="s">
        <v>100</v>
      </c>
      <c r="B23" t="s">
        <v>101</v>
      </c>
      <c r="C23" t="s">
        <v>233</v>
      </c>
      <c r="D23" t="s">
        <v>269</v>
      </c>
      <c r="E23" t="s">
        <v>268</v>
      </c>
      <c r="F23" t="s">
        <v>48</v>
      </c>
      <c r="G23">
        <v>3531</v>
      </c>
      <c r="H23" t="s">
        <v>48</v>
      </c>
      <c r="I23">
        <v>1</v>
      </c>
      <c r="J23">
        <v>1</v>
      </c>
      <c r="K23" t="s">
        <v>48</v>
      </c>
      <c r="L23">
        <v>1</v>
      </c>
      <c r="M23">
        <v>3531</v>
      </c>
    </row>
    <row r="24" spans="1:13">
      <c r="A24" t="s">
        <v>100</v>
      </c>
      <c r="B24" t="s">
        <v>101</v>
      </c>
      <c r="C24" t="s">
        <v>271</v>
      </c>
      <c r="D24" t="s">
        <v>272</v>
      </c>
      <c r="E24" t="s">
        <v>270</v>
      </c>
      <c r="F24" t="s">
        <v>48</v>
      </c>
      <c r="G24">
        <v>1453</v>
      </c>
      <c r="H24" t="s">
        <v>48</v>
      </c>
      <c r="I24">
        <v>1</v>
      </c>
      <c r="J24">
        <v>1</v>
      </c>
      <c r="K24" t="s">
        <v>48</v>
      </c>
      <c r="L24">
        <v>1</v>
      </c>
      <c r="M24">
        <v>1453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3"/>
  <sheetData>
    <row r="1" spans="1:4">
      <c r="A1" t="s">
        <v>415</v>
      </c>
      <c r="B1" t="s">
        <v>416</v>
      </c>
      <c r="C1" t="s">
        <v>417</v>
      </c>
      <c r="D1" t="s">
        <v>418</v>
      </c>
    </row>
    <row r="2" spans="1:4">
      <c r="A2" t="s">
        <v>419</v>
      </c>
      <c r="B2">
        <v>9000</v>
      </c>
      <c r="C2" t="s">
        <v>420</v>
      </c>
      <c r="D2">
        <v>78507</v>
      </c>
    </row>
    <row r="3" spans="1:4">
      <c r="A3" t="s">
        <v>344</v>
      </c>
      <c r="B3">
        <v>4000</v>
      </c>
      <c r="C3" t="s">
        <v>420</v>
      </c>
      <c r="D3">
        <v>34892</v>
      </c>
    </row>
    <row r="4" spans="1:4">
      <c r="A4" t="s">
        <v>345</v>
      </c>
      <c r="B4">
        <v>2000</v>
      </c>
      <c r="C4" t="s">
        <v>420</v>
      </c>
      <c r="D4">
        <v>17446</v>
      </c>
    </row>
    <row r="5" spans="1:4">
      <c r="A5" t="s">
        <v>347</v>
      </c>
      <c r="B5">
        <v>10000</v>
      </c>
      <c r="C5" t="s">
        <v>420</v>
      </c>
      <c r="D5">
        <v>87230.000000000015</v>
      </c>
    </row>
    <row r="6" spans="1:4">
      <c r="A6" t="s">
        <v>349</v>
      </c>
      <c r="B6">
        <v>10000</v>
      </c>
      <c r="C6" t="s">
        <v>420</v>
      </c>
      <c r="D6">
        <v>87230.000000000015</v>
      </c>
    </row>
    <row r="7" spans="1:4">
      <c r="A7" t="s">
        <v>421</v>
      </c>
      <c r="B7" t="s">
        <v>422</v>
      </c>
      <c r="C7" t="s">
        <v>422</v>
      </c>
      <c r="D7">
        <v>555189</v>
      </c>
    </row>
    <row r="8" spans="1:4">
      <c r="A8" t="s">
        <v>423</v>
      </c>
      <c r="D8">
        <v>602345.79999999993</v>
      </c>
    </row>
    <row r="9" spans="1:4">
      <c r="A9" t="s">
        <v>424</v>
      </c>
      <c r="D9">
        <v>1462839.8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СПРАВОЧНИК -1</vt:lpstr>
      <vt:lpstr>СПРАВОЧНИК -2</vt:lpstr>
      <vt:lpstr>СПРАВОЧНИК -3</vt:lpstr>
      <vt:lpstr>ПОЛЬЗОВАТЕЛИ</vt:lpstr>
      <vt:lpstr>ЗАПРОСЫ</vt:lpstr>
      <vt:lpstr>Расчет по габаритам</vt:lpstr>
      <vt:lpstr>Расчетом расходов материалов</vt:lpstr>
      <vt:lpstr>Итоговый расчет с монтажом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2025-11-30T05:52:28Z</dcterms:created>
  <dcterms:modified xsi:type="dcterms:W3CDTF">2025-12-09T13:20:09Z</dcterms:modified>
</cp:coreProperties>
</file>